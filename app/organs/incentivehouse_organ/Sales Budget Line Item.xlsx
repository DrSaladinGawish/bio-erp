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E5FC4127-A9DC-46D9-86A3-6D845CCDC9E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ales Budget Line Item" sheetId="1" r:id="rId1"/>
  </sheets>
  <calcPr calcId="191029"/>
</workbook>
</file>

<file path=xl/calcChain.xml><?xml version="1.0" encoding="utf-8"?>
<calcChain xmlns="http://schemas.openxmlformats.org/spreadsheetml/2006/main">
  <c r="M2" i="1" l="1"/>
  <c r="L4" i="1"/>
  <c r="K3" i="1"/>
  <c r="L3" i="1" s="1"/>
  <c r="K4" i="1"/>
  <c r="K5" i="1"/>
  <c r="L5" i="1" s="1"/>
  <c r="K6" i="1"/>
  <c r="L6" i="1" s="1"/>
  <c r="K7" i="1"/>
  <c r="L7" i="1" s="1"/>
  <c r="K8" i="1"/>
  <c r="L8" i="1" s="1"/>
  <c r="K9" i="1"/>
  <c r="L9" i="1" s="1"/>
  <c r="K2" i="1"/>
  <c r="L2" i="1" s="1"/>
  <c r="N4" i="1" l="1"/>
  <c r="P4" i="1" s="1"/>
  <c r="M7" i="1"/>
  <c r="N7" i="1" s="1"/>
  <c r="P7" i="1" s="1"/>
  <c r="M4" i="1"/>
  <c r="N2" i="1"/>
  <c r="P2" i="1" s="1"/>
  <c r="M9" i="1"/>
  <c r="N9" i="1" s="1"/>
  <c r="P9" i="1" s="1"/>
  <c r="M3" i="1"/>
  <c r="N3" i="1" s="1"/>
  <c r="P3" i="1" s="1"/>
  <c r="M8" i="1"/>
  <c r="N8" i="1" s="1"/>
  <c r="P8" i="1" s="1"/>
  <c r="M6" i="1"/>
  <c r="N6" i="1" s="1"/>
  <c r="P6" i="1" s="1"/>
  <c r="M5" i="1"/>
  <c r="N5" i="1" s="1"/>
  <c r="P5" i="1" s="1"/>
</calcChain>
</file>

<file path=xl/sharedStrings.xml><?xml version="1.0" encoding="utf-8"?>
<sst xmlns="http://schemas.openxmlformats.org/spreadsheetml/2006/main" count="48" uniqueCount="35">
  <si>
    <t>ID_sales_Budget_lineitem</t>
  </si>
  <si>
    <t>Service Category</t>
  </si>
  <si>
    <t>Expected Date Of Execuation</t>
  </si>
  <si>
    <t>Bug Number Of PAX/NIght</t>
  </si>
  <si>
    <t>Units/PAX</t>
  </si>
  <si>
    <t>NO Of Nights</t>
  </si>
  <si>
    <t>Unit Price</t>
  </si>
  <si>
    <t>Total Budget Sales</t>
  </si>
  <si>
    <t>VAT</t>
  </si>
  <si>
    <t>Total Due</t>
  </si>
  <si>
    <t>In EGP</t>
  </si>
  <si>
    <t>Curreny Conversion</t>
  </si>
  <si>
    <t>Sales Category</t>
  </si>
  <si>
    <t>Item</t>
  </si>
  <si>
    <t>Airpor transfer + Meet &amp; Assit + Visa</t>
  </si>
  <si>
    <t xml:space="preserve">Van for full day </t>
  </si>
  <si>
    <t>Pyramids entrance</t>
  </si>
  <si>
    <t>Dinner @ Khufu</t>
  </si>
  <si>
    <t>Beverage one soft drink + water</t>
  </si>
  <si>
    <t>Full day car</t>
  </si>
  <si>
    <t>Half day car</t>
  </si>
  <si>
    <t xml:space="preserve">   10% from total event as management fees </t>
  </si>
  <si>
    <t>Trips</t>
  </si>
  <si>
    <t>Day</t>
  </si>
  <si>
    <t>PAX</t>
  </si>
  <si>
    <t>Precent</t>
  </si>
  <si>
    <t xml:space="preserve">Sales Value </t>
  </si>
  <si>
    <t>Travel &amp; Logistics</t>
  </si>
  <si>
    <t>Transportation</t>
  </si>
  <si>
    <t>Sightseeing &amp; Attractions</t>
  </si>
  <si>
    <t>Meals &amp; Entertainment</t>
  </si>
  <si>
    <t>Management Fees</t>
  </si>
  <si>
    <t>Main Arrangements</t>
  </si>
  <si>
    <t xml:space="preserve">Management Fees </t>
  </si>
  <si>
    <t>CoCen_Key_ID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</si>
</sst>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2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7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C2" sqref="C2"/>
    </sheetView>
  </sheetViews>
  <sheetFormatPr defaultRowHeight="15" x14ac:dyDescent="0.25"/>
  <cols>
    <col min="1" max="1" width="14.7109375" customWidth="1"/>
    <col min="2" max="2" width="12.140625" customWidth="1"/>
    <col min="3" max="4" width="23.7109375" bestFit="1" customWidth="1"/>
    <col min="5" max="5" width="19" style="4" customWidth="1"/>
    <col min="6" max="6" width="23.7109375" bestFit="1" customWidth="1"/>
    <col min="7" max="7" width="15.140625" bestFit="1" customWidth="1"/>
    <col min="8" max="8" width="10.140625" bestFit="1" customWidth="1"/>
    <col min="9" max="9" width="12.7109375" bestFit="1" customWidth="1"/>
    <col min="10" max="10" width="10.5703125" bestFit="1" customWidth="1"/>
    <col min="11" max="11" width="17.5703125" bestFit="1" customWidth="1"/>
    <col min="12" max="13" width="12.140625" bestFit="1" customWidth="1"/>
    <col min="14" max="14" width="10.5703125" bestFit="1" customWidth="1"/>
    <col min="15" max="15" width="12.28515625" customWidth="1"/>
    <col min="16" max="16" width="10.5703125" bestFit="1" customWidth="1"/>
  </cols>
  <sheetData>
    <row r="1" spans="1:16" s="2" customFormat="1" ht="30" x14ac:dyDescent="0.25">
      <c r="A1" s="1" t="s">
        <v>0</v>
      </c>
      <c r="B1" s="1" t="s">
        <v>34</v>
      </c>
      <c r="C1" s="1" t="s">
        <v>1</v>
      </c>
      <c r="D1" s="1" t="s">
        <v>12</v>
      </c>
      <c r="E1" s="3" t="s">
        <v>2</v>
      </c>
      <c r="F1" s="1" t="s">
        <v>13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26</v>
      </c>
      <c r="N1" s="1" t="s">
        <v>9</v>
      </c>
      <c r="O1" s="1" t="s">
        <v>11</v>
      </c>
      <c r="P1" s="1" t="s">
        <v>10</v>
      </c>
    </row>
    <row r="2" spans="1:16" x14ac:dyDescent="0.25">
      <c r="A2">
        <v>1</v>
      </c>
      <c r="B2">
        <v>210</v>
      </c>
      <c r="C2" t="s">
        <v>27</v>
      </c>
      <c r="D2" t="s">
        <v>32</v>
      </c>
      <c r="E2" s="4">
        <v>46061</v>
      </c>
      <c r="F2" t="s">
        <v>14</v>
      </c>
      <c r="G2">
        <v>1</v>
      </c>
      <c r="H2" t="s">
        <v>22</v>
      </c>
      <c r="I2" s="5">
        <v>3</v>
      </c>
      <c r="J2" s="5">
        <v>6000</v>
      </c>
      <c r="K2" s="5">
        <f>+G2*I2*J2</f>
        <v>18000</v>
      </c>
      <c r="L2" s="5">
        <f>+K2-((K2/114)*100)</f>
        <v>2210.5263157894733</v>
      </c>
      <c r="M2" s="5">
        <f>+K2-L2</f>
        <v>15789.473684210527</v>
      </c>
      <c r="N2" s="5">
        <f>+L2+M2</f>
        <v>18000</v>
      </c>
      <c r="O2" s="5">
        <v>1</v>
      </c>
      <c r="P2" s="5">
        <f>+N2*O2</f>
        <v>18000</v>
      </c>
    </row>
    <row r="3" spans="1:16" x14ac:dyDescent="0.25">
      <c r="A3">
        <v>2</v>
      </c>
      <c r="B3">
        <v>210</v>
      </c>
      <c r="C3" t="s">
        <v>28</v>
      </c>
      <c r="D3" t="s">
        <v>32</v>
      </c>
      <c r="E3" s="4">
        <v>46063</v>
      </c>
      <c r="F3" t="s">
        <v>15</v>
      </c>
      <c r="G3">
        <v>1</v>
      </c>
      <c r="H3" t="s">
        <v>23</v>
      </c>
      <c r="I3" s="5">
        <v>1</v>
      </c>
      <c r="J3" s="5">
        <v>12500</v>
      </c>
      <c r="K3" s="5">
        <f t="shared" ref="K3:K9" si="0">+G3*I3*J3</f>
        <v>12500</v>
      </c>
      <c r="L3" s="5">
        <f t="shared" ref="L3:L9" si="1">+K3-((K3/114)*100)</f>
        <v>1535.0877192982443</v>
      </c>
      <c r="M3" s="5">
        <f t="shared" ref="M3:M9" si="2">+K3-L3</f>
        <v>10964.912280701756</v>
      </c>
      <c r="N3" s="5">
        <f t="shared" ref="N3:N9" si="3">+L3+M3</f>
        <v>12500</v>
      </c>
      <c r="O3" s="5">
        <v>1</v>
      </c>
      <c r="P3" s="5">
        <f t="shared" ref="P3:P9" si="4">+N3*O3</f>
        <v>12500</v>
      </c>
    </row>
    <row r="4" spans="1:16" x14ac:dyDescent="0.25">
      <c r="A4">
        <v>3</v>
      </c>
      <c r="B4">
        <v>210</v>
      </c>
      <c r="C4" t="s">
        <v>29</v>
      </c>
      <c r="D4" t="s">
        <v>32</v>
      </c>
      <c r="E4" s="4">
        <v>46063</v>
      </c>
      <c r="F4" t="s">
        <v>16</v>
      </c>
      <c r="G4">
        <v>1</v>
      </c>
      <c r="H4" t="s">
        <v>24</v>
      </c>
      <c r="I4" s="5">
        <v>5</v>
      </c>
      <c r="J4" s="5">
        <v>600</v>
      </c>
      <c r="K4" s="5">
        <f t="shared" si="0"/>
        <v>3000</v>
      </c>
      <c r="L4" s="5">
        <f t="shared" si="1"/>
        <v>368.42105263157919</v>
      </c>
      <c r="M4" s="5">
        <f t="shared" si="2"/>
        <v>2631.5789473684208</v>
      </c>
      <c r="N4" s="5">
        <f t="shared" si="3"/>
        <v>3000</v>
      </c>
      <c r="O4" s="5">
        <v>1</v>
      </c>
      <c r="P4" s="5">
        <f t="shared" si="4"/>
        <v>3000</v>
      </c>
    </row>
    <row r="5" spans="1:16" x14ac:dyDescent="0.25">
      <c r="A5">
        <v>4</v>
      </c>
      <c r="B5">
        <v>210</v>
      </c>
      <c r="C5" t="s">
        <v>30</v>
      </c>
      <c r="D5" t="s">
        <v>32</v>
      </c>
      <c r="E5" s="4">
        <v>46063</v>
      </c>
      <c r="F5" t="s">
        <v>17</v>
      </c>
      <c r="G5">
        <v>1</v>
      </c>
      <c r="H5" t="s">
        <v>24</v>
      </c>
      <c r="I5" s="5">
        <v>5</v>
      </c>
      <c r="J5" s="5">
        <v>4980</v>
      </c>
      <c r="K5" s="5">
        <f t="shared" si="0"/>
        <v>24900</v>
      </c>
      <c r="L5" s="5">
        <f t="shared" si="1"/>
        <v>3057.8947368421032</v>
      </c>
      <c r="M5" s="5">
        <f t="shared" si="2"/>
        <v>21842.105263157897</v>
      </c>
      <c r="N5" s="5">
        <f t="shared" si="3"/>
        <v>24900</v>
      </c>
      <c r="O5" s="5">
        <v>1</v>
      </c>
      <c r="P5" s="5">
        <f t="shared" si="4"/>
        <v>24900</v>
      </c>
    </row>
    <row r="6" spans="1:16" x14ac:dyDescent="0.25">
      <c r="A6">
        <v>5</v>
      </c>
      <c r="B6">
        <v>210</v>
      </c>
      <c r="C6" t="s">
        <v>30</v>
      </c>
      <c r="D6" t="s">
        <v>32</v>
      </c>
      <c r="E6" s="4">
        <v>46063</v>
      </c>
      <c r="F6" t="s">
        <v>18</v>
      </c>
      <c r="G6">
        <v>1</v>
      </c>
      <c r="H6" t="s">
        <v>24</v>
      </c>
      <c r="I6" s="5">
        <v>5</v>
      </c>
      <c r="J6" s="5">
        <v>550</v>
      </c>
      <c r="K6" s="5">
        <f t="shared" si="0"/>
        <v>2750</v>
      </c>
      <c r="L6" s="5">
        <f t="shared" si="1"/>
        <v>337.71929824561403</v>
      </c>
      <c r="M6" s="5">
        <f t="shared" si="2"/>
        <v>2412.280701754386</v>
      </c>
      <c r="N6" s="5">
        <f t="shared" si="3"/>
        <v>2750</v>
      </c>
      <c r="O6" s="5">
        <v>1</v>
      </c>
      <c r="P6" s="5">
        <f t="shared" si="4"/>
        <v>2750</v>
      </c>
    </row>
    <row r="7" spans="1:16" x14ac:dyDescent="0.25">
      <c r="A7">
        <v>6</v>
      </c>
      <c r="B7">
        <v>210</v>
      </c>
      <c r="C7" t="s">
        <v>28</v>
      </c>
      <c r="D7" t="s">
        <v>32</v>
      </c>
      <c r="E7" s="4">
        <v>46064</v>
      </c>
      <c r="F7" t="s">
        <v>19</v>
      </c>
      <c r="G7">
        <v>1</v>
      </c>
      <c r="H7" t="s">
        <v>23</v>
      </c>
      <c r="I7" s="5">
        <v>1</v>
      </c>
      <c r="J7" s="5">
        <v>8000</v>
      </c>
      <c r="K7" s="5">
        <f t="shared" si="0"/>
        <v>8000</v>
      </c>
      <c r="L7" s="5">
        <f t="shared" si="1"/>
        <v>982.45614035087692</v>
      </c>
      <c r="M7" s="5">
        <f t="shared" si="2"/>
        <v>7017.5438596491231</v>
      </c>
      <c r="N7" s="5">
        <f t="shared" si="3"/>
        <v>8000</v>
      </c>
      <c r="O7" s="5">
        <v>1</v>
      </c>
      <c r="P7" s="5">
        <f t="shared" si="4"/>
        <v>8000</v>
      </c>
    </row>
    <row r="8" spans="1:16" x14ac:dyDescent="0.25">
      <c r="A8">
        <v>7</v>
      </c>
      <c r="B8">
        <v>210</v>
      </c>
      <c r="C8" t="s">
        <v>28</v>
      </c>
      <c r="D8" t="s">
        <v>32</v>
      </c>
      <c r="E8" s="4">
        <v>46064</v>
      </c>
      <c r="F8" t="s">
        <v>20</v>
      </c>
      <c r="G8">
        <v>1</v>
      </c>
      <c r="H8" t="s">
        <v>23</v>
      </c>
      <c r="I8" s="5">
        <v>1</v>
      </c>
      <c r="J8" s="5">
        <v>5500</v>
      </c>
      <c r="K8" s="5">
        <f t="shared" si="0"/>
        <v>5500</v>
      </c>
      <c r="L8" s="5">
        <f t="shared" si="1"/>
        <v>675.43859649122805</v>
      </c>
      <c r="M8" s="5">
        <f t="shared" si="2"/>
        <v>4824.5614035087719</v>
      </c>
      <c r="N8" s="5">
        <f t="shared" si="3"/>
        <v>5500</v>
      </c>
      <c r="O8" s="5">
        <v>1</v>
      </c>
      <c r="P8" s="5">
        <f t="shared" si="4"/>
        <v>5500</v>
      </c>
    </row>
    <row r="9" spans="1:16" x14ac:dyDescent="0.25">
      <c r="A9">
        <v>8</v>
      </c>
      <c r="B9">
        <v>210</v>
      </c>
      <c r="C9" t="s">
        <v>31</v>
      </c>
      <c r="D9" t="s">
        <v>33</v>
      </c>
      <c r="E9" s="4">
        <v>46064</v>
      </c>
      <c r="F9" t="s">
        <v>21</v>
      </c>
      <c r="G9">
        <v>1</v>
      </c>
      <c r="H9" t="s">
        <v>25</v>
      </c>
      <c r="I9" s="5">
        <v>1</v>
      </c>
      <c r="J9" s="5">
        <v>8510.1</v>
      </c>
      <c r="K9" s="5">
        <f t="shared" si="0"/>
        <v>8510.1</v>
      </c>
      <c r="L9" s="5">
        <f t="shared" si="1"/>
        <v>1045.0999999999995</v>
      </c>
      <c r="M9" s="5">
        <f t="shared" si="2"/>
        <v>7465.0000000000009</v>
      </c>
      <c r="N9" s="5">
        <f t="shared" si="3"/>
        <v>8510.1</v>
      </c>
      <c r="O9" s="5">
        <v>1</v>
      </c>
      <c r="P9" s="5">
        <f t="shared" si="4"/>
        <v>8510.1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Budget Line Item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FC Incentive House</cp:lastModifiedBy>
  <dcterms:created xsi:type="dcterms:W3CDTF">2026-02-04T11:02:01Z</dcterms:created>
  <dcterms:modified xsi:type="dcterms:W3CDTF">2026-02-04T12:33:09Z</dcterms:modified>
</cp:coreProperties>
</file>