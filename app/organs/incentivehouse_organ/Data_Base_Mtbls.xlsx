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SYSTEM\Data Base\"/>
    </mc:Choice>
  </mc:AlternateContent>
  <xr:revisionPtr revIDLastSave="0" documentId="13_ncr:1_{86D6B7EA-758E-4B31-92C8-EBF0E7D9579E}" xr6:coauthVersionLast="47" xr6:coauthVersionMax="47" xr10:uidLastSave="{00000000-0000-0000-0000-000000000000}"/>
  <bookViews>
    <workbookView xWindow="-120" yWindow="-120" windowWidth="19440" windowHeight="13920" tabRatio="989" activeTab="10" xr2:uid="{2AF6794D-37D1-429D-8ADD-B8D47880BA2B}"/>
  </bookViews>
  <sheets>
    <sheet name="COA_Cat" sheetId="5" r:id="rId1"/>
    <sheet name="Itm_Cat" sheetId="1" r:id="rId2"/>
    <sheet name="COA_Mtble" sheetId="4" r:id="rId3"/>
    <sheet name="EINV_Itm_Mtble" sheetId="2" r:id="rId4"/>
    <sheet name="Bud_Itm_Mtble" sheetId="3" r:id="rId5"/>
    <sheet name="PNR_Mtble" sheetId="8" r:id="rId6"/>
    <sheet name="Sup_Mtbl" sheetId="9" r:id="rId7"/>
    <sheet name="Clnt_Mtbl" sheetId="12" r:id="rId8"/>
    <sheet name="Own_Mtbl" sheetId="10" r:id="rId9"/>
    <sheet name="Stff_Mtbl" sheetId="11" r:id="rId10"/>
    <sheet name="Einv_TrxMtbl" sheetId="16" r:id="rId11"/>
    <sheet name="Bud_Pur_Trxtbl" sheetId="14" r:id="rId12"/>
    <sheet name="Bud_Sal_Trxtbl" sheetId="15" r:id="rId13"/>
  </sheets>
  <definedNames>
    <definedName name="_xlcn.WorksheetConnection_Book1Itm_Cat_Key1" hidden="1">EINV_Itm_Mtble[]</definedName>
    <definedName name="_xlcn.WorksheetConnection_Book1Itm_Cat1" hidden="1">Itm_Cat[]</definedName>
    <definedName name="_xlcn.WorksheetConnection_Data_Base_Mtbls.xlsxBud_Pur_Trxtbl1" hidden="1">Bud_Pur_Trxtbl[]</definedName>
    <definedName name="_xlcn.WorksheetConnection_Data_Base_Mtbls.xlsxClient_master1" hidden="1">Clnt_Mtbl[]</definedName>
    <definedName name="_xlcn.WorksheetConnection_Data_Base_Mtbls.xlsxOwn_Mtbl1" hidden="1">Own_Mtbl[]</definedName>
    <definedName name="_xlcn.WorksheetConnection_Data_Base_Mtbls.xlsxStff_Mtbl1" hidden="1">Stff_Mtbl[]</definedName>
    <definedName name="_xlcn.WorksheetConnection_Data_Base_Mtbls.xlsxSup_Mtbl1" hidden="1">Sup_Mtbl[]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_Mtbl" name="Sup_Mtbl" connection="WorksheetConnection_Data_Base_Mtbls.xlsx!Sup_Mtbl"/>
          <x15:modelTable id="Stff_Mtbl" name="Stff_Mtbl" connection="WorksheetConnection_Data_Base_Mtbls.xlsx!Stff_Mtbl"/>
          <x15:modelTable id="Own_Mtbl" name="Own_Mtbl" connection="WorksheetConnection_Data_Base_Mtbls.xlsx!Own_Mtbl"/>
          <x15:modelTable id="Client_master" name="Client_master" connection="WorksheetConnection_Data_Base_Mtbls.xlsx!Client_master"/>
          <x15:modelTable id="Bud_Pur_Trxtbl" name="Bud_Pur_Trxtbl" connection="WorksheetConnection_Data_Base_Mtbls.xlsx!Bud_Pur_Trxtbl"/>
          <x15:modelTable id="Itm_Cat_Key" name="Itm_Cat_Key" connection="WorksheetConnection_Book1!Itm_Cat_Key"/>
          <x15:modelTable id="Itm_Cat" name="Itm_Cat" connection="WorksheetConnection_Book1!Itm_Cat"/>
        </x15:modelTables>
        <x15:modelRelationships>
          <x15:modelRelationship fromTable="Itm_Cat_Key" fromColumn="Item_Cat_ID" toTable="Itm_Cat" toColumn="Item_Cat_ID"/>
          <x15:modelRelationship fromTable="Bud_Pur_Trxtbl" fromColumn="Ven_ID" toTable="Sup_Mtbl" toColumn="Ven_ID"/>
        </x15:modelRelationships>
      </x15:dataModel>
    </ext>
  </extLst>
</workbook>
</file>

<file path=xl/calcChain.xml><?xml version="1.0" encoding="utf-8"?>
<calcChain xmlns="http://schemas.openxmlformats.org/spreadsheetml/2006/main">
  <c r="C527" i="16" l="1"/>
  <c r="C526" i="16" l="1"/>
  <c r="C525" i="16"/>
  <c r="C524" i="16"/>
  <c r="C523" i="16" l="1"/>
  <c r="C522" i="16"/>
  <c r="C521" i="16"/>
  <c r="C520" i="16"/>
  <c r="C519" i="16"/>
  <c r="C518" i="16"/>
  <c r="C517" i="16"/>
  <c r="C516" i="16"/>
  <c r="C513" i="16"/>
  <c r="C514" i="16"/>
  <c r="C515" i="16"/>
  <c r="C512" i="16"/>
  <c r="C509" i="16"/>
  <c r="C508" i="16"/>
  <c r="C507" i="16"/>
  <c r="C506" i="16"/>
  <c r="C505" i="16"/>
  <c r="C504" i="16"/>
  <c r="C503" i="16"/>
  <c r="C502" i="16"/>
  <c r="C501" i="16"/>
  <c r="C500" i="16"/>
  <c r="C499" i="16"/>
  <c r="C498" i="16"/>
  <c r="C497" i="16"/>
  <c r="C496" i="16"/>
  <c r="C495" i="16"/>
  <c r="C494" i="16"/>
  <c r="C493" i="16"/>
  <c r="C492" i="16"/>
  <c r="C491" i="16"/>
  <c r="C488" i="16"/>
  <c r="C489" i="16"/>
  <c r="C490" i="16"/>
  <c r="C487" i="16"/>
  <c r="C485" i="16"/>
  <c r="C486" i="16"/>
  <c r="C483" i="16"/>
  <c r="C484" i="16"/>
  <c r="C482" i="16"/>
  <c r="C481" i="16"/>
  <c r="C480" i="16"/>
  <c r="C479" i="16"/>
  <c r="C429" i="16" l="1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28" i="16"/>
  <c r="C427" i="16"/>
  <c r="C426" i="16" l="1"/>
  <c r="C425" i="16"/>
  <c r="C424" i="16"/>
  <c r="C423" i="16"/>
  <c r="C422" i="16"/>
  <c r="C421" i="16"/>
  <c r="C420" i="16"/>
  <c r="C419" i="16"/>
  <c r="C418" i="16"/>
  <c r="C417" i="16"/>
  <c r="C416" i="16"/>
  <c r="C415" i="16"/>
  <c r="C414" i="16"/>
  <c r="C413" i="16"/>
  <c r="C412" i="16" l="1"/>
  <c r="C411" i="16"/>
  <c r="C410" i="16"/>
  <c r="C409" i="16"/>
  <c r="C408" i="16"/>
  <c r="C407" i="16"/>
  <c r="C406" i="16"/>
  <c r="C404" i="16"/>
  <c r="C405" i="16"/>
  <c r="C403" i="16"/>
  <c r="C402" i="16"/>
  <c r="C401" i="16"/>
  <c r="C400" i="16"/>
  <c r="C399" i="16"/>
  <c r="C396" i="16"/>
  <c r="C397" i="16"/>
  <c r="C398" i="16"/>
  <c r="C395" i="16"/>
  <c r="C393" i="16"/>
  <c r="C394" i="16"/>
  <c r="C392" i="16"/>
  <c r="C390" i="16"/>
  <c r="C391" i="16"/>
  <c r="C389" i="16"/>
  <c r="C388" i="16"/>
  <c r="C387" i="16"/>
  <c r="C386" i="16"/>
  <c r="C385" i="16"/>
  <c r="C378" i="16"/>
  <c r="C379" i="16"/>
  <c r="C380" i="16"/>
  <c r="C381" i="16"/>
  <c r="C382" i="16"/>
  <c r="C383" i="16"/>
  <c r="C384" i="16"/>
  <c r="C377" i="16"/>
  <c r="C376" i="16"/>
  <c r="C375" i="16"/>
  <c r="C374" i="16"/>
  <c r="C373" i="16"/>
  <c r="C372" i="16"/>
  <c r="C371" i="16"/>
  <c r="C370" i="16"/>
  <c r="C369" i="16"/>
  <c r="C368" i="16"/>
  <c r="C367" i="16"/>
  <c r="C366" i="16"/>
  <c r="C362" i="16"/>
  <c r="C363" i="16"/>
  <c r="C364" i="16"/>
  <c r="C365" i="16"/>
  <c r="C361" i="16"/>
  <c r="C360" i="16"/>
  <c r="C359" i="16"/>
  <c r="C358" i="16"/>
  <c r="C357" i="16"/>
  <c r="C356" i="16"/>
  <c r="C355" i="16" l="1"/>
  <c r="C354" i="16"/>
  <c r="C353" i="16"/>
  <c r="C352" i="16"/>
  <c r="C351" i="16"/>
  <c r="C350" i="16"/>
  <c r="C349" i="16"/>
  <c r="C348" i="16"/>
  <c r="C347" i="16"/>
  <c r="C346" i="16"/>
  <c r="C345" i="16"/>
  <c r="C344" i="16"/>
  <c r="C341" i="16"/>
  <c r="C342" i="16"/>
  <c r="C343" i="16"/>
  <c r="C340" i="16"/>
  <c r="C330" i="16"/>
  <c r="C331" i="16"/>
  <c r="C332" i="16"/>
  <c r="C333" i="16"/>
  <c r="C334" i="16"/>
  <c r="C335" i="16"/>
  <c r="C336" i="16"/>
  <c r="C337" i="16"/>
  <c r="C338" i="16"/>
  <c r="C339" i="16"/>
  <c r="C329" i="16"/>
  <c r="C328" i="16"/>
  <c r="C5" i="16"/>
  <c r="C224" i="16"/>
  <c r="C205" i="16"/>
  <c r="C132" i="16"/>
  <c r="C68" i="16"/>
  <c r="C100" i="16"/>
  <c r="C318" i="16"/>
  <c r="C135" i="16"/>
  <c r="C154" i="16"/>
  <c r="C200" i="16"/>
  <c r="C151" i="16"/>
  <c r="C280" i="16"/>
  <c r="C288" i="16"/>
  <c r="C179" i="16"/>
  <c r="C72" i="16"/>
  <c r="C107" i="16"/>
  <c r="C4" i="16"/>
  <c r="C164" i="16"/>
  <c r="C265" i="16"/>
  <c r="C76" i="16"/>
  <c r="C28" i="16"/>
  <c r="C90" i="16"/>
  <c r="C110" i="16"/>
  <c r="C157" i="16"/>
  <c r="C175" i="16"/>
  <c r="C81" i="16"/>
  <c r="C33" i="16"/>
  <c r="C85" i="16"/>
  <c r="C214" i="16"/>
  <c r="C111" i="16"/>
  <c r="C173" i="16"/>
  <c r="C220" i="16"/>
  <c r="C139" i="16"/>
  <c r="C121" i="16"/>
  <c r="C59" i="16"/>
  <c r="C222" i="16"/>
  <c r="C126" i="16"/>
  <c r="C112" i="16"/>
  <c r="C321" i="16"/>
  <c r="C93" i="16"/>
  <c r="C182" i="16"/>
  <c r="C267" i="16"/>
  <c r="C73" i="16"/>
  <c r="C101" i="16"/>
  <c r="C118" i="16"/>
  <c r="C36" i="16"/>
  <c r="C87" i="16"/>
  <c r="C141" i="16"/>
  <c r="C178" i="16"/>
  <c r="C292" i="16"/>
  <c r="C40" i="16"/>
  <c r="C255" i="16" l="1"/>
  <c r="C285" i="16"/>
  <c r="C294" i="16"/>
  <c r="C156" i="16"/>
  <c r="C106" i="16"/>
  <c r="C13" i="16"/>
  <c r="C236" i="16"/>
  <c r="C27" i="16"/>
  <c r="C66" i="16"/>
  <c r="C136" i="16"/>
  <c r="C244" i="16"/>
  <c r="C187" i="16"/>
  <c r="C91" i="16"/>
  <c r="C284" i="16"/>
  <c r="C142" i="16"/>
  <c r="C189" i="16"/>
  <c r="C55" i="16"/>
  <c r="C98" i="16"/>
  <c r="C46" i="16"/>
  <c r="C75" i="16"/>
  <c r="C261" i="16"/>
  <c r="C317" i="16"/>
  <c r="C215" i="16"/>
  <c r="C24" i="16"/>
  <c r="C181" i="16"/>
  <c r="C239" i="16"/>
  <c r="C162" i="16"/>
  <c r="C62" i="16"/>
  <c r="C89" i="16"/>
  <c r="C70" i="16"/>
  <c r="C150" i="16"/>
  <c r="C180" i="16"/>
  <c r="C229" i="16"/>
  <c r="C314" i="16"/>
  <c r="C149" i="16"/>
  <c r="C299" i="16"/>
  <c r="C116" i="16"/>
  <c r="C203" i="16"/>
  <c r="C286" i="16"/>
  <c r="C119" i="16"/>
  <c r="C11" i="16"/>
  <c r="C99" i="16"/>
  <c r="C313" i="16"/>
  <c r="C268" i="16"/>
  <c r="C184" i="16"/>
  <c r="C102" i="16"/>
  <c r="C58" i="16"/>
  <c r="C183" i="16"/>
  <c r="C105" i="16"/>
  <c r="C56" i="16"/>
  <c r="C232" i="16"/>
  <c r="C37" i="16"/>
  <c r="C2" i="16"/>
  <c r="C117" i="16"/>
  <c r="C307" i="16"/>
  <c r="C54" i="16"/>
  <c r="C165" i="16"/>
  <c r="C48" i="16"/>
  <c r="C19" i="16"/>
  <c r="C246" i="16"/>
  <c r="C295" i="16"/>
  <c r="C44" i="16"/>
  <c r="C143" i="16"/>
  <c r="C71" i="16"/>
  <c r="C61" i="16"/>
  <c r="C291" i="16"/>
  <c r="C315" i="16"/>
  <c r="C274" i="16"/>
  <c r="C15" i="16"/>
  <c r="C35" i="16"/>
  <c r="C147" i="16"/>
  <c r="C69" i="16"/>
  <c r="C218" i="16"/>
  <c r="C207" i="16"/>
  <c r="C51" i="16"/>
  <c r="C283" i="16"/>
  <c r="C212" i="16"/>
  <c r="C7" i="16"/>
  <c r="C260" i="16"/>
  <c r="C96" i="16"/>
  <c r="C252" i="16"/>
  <c r="C316" i="16"/>
  <c r="C248" i="16"/>
  <c r="C217" i="16"/>
  <c r="C257" i="16"/>
  <c r="C188" i="16"/>
  <c r="C250" i="16"/>
  <c r="C323" i="16"/>
  <c r="C122" i="16"/>
  <c r="C253" i="16"/>
  <c r="C115" i="16"/>
  <c r="C319" i="16"/>
  <c r="C264" i="16"/>
  <c r="C160" i="16"/>
  <c r="C325" i="16"/>
  <c r="C64" i="16"/>
  <c r="C241" i="16"/>
  <c r="C308" i="16"/>
  <c r="C103" i="16"/>
  <c r="C289" i="16"/>
  <c r="C238" i="16"/>
  <c r="C301" i="16"/>
  <c r="C304" i="16"/>
  <c r="C47" i="16"/>
  <c r="C287" i="16"/>
  <c r="C26" i="16"/>
  <c r="C74" i="16"/>
  <c r="C266" i="16"/>
  <c r="C167" i="16"/>
  <c r="C133" i="16"/>
  <c r="C300" i="16"/>
  <c r="C14" i="16"/>
  <c r="C86" i="16"/>
  <c r="C113" i="16"/>
  <c r="C134" i="16"/>
  <c r="C152" i="16"/>
  <c r="C155" i="16"/>
  <c r="C163" i="16"/>
  <c r="C193" i="16"/>
  <c r="C197" i="16"/>
  <c r="C199" i="16"/>
  <c r="C228" i="16"/>
  <c r="C225" i="16"/>
  <c r="C171" i="16"/>
  <c r="C303" i="16"/>
  <c r="C209" i="16"/>
  <c r="C131" i="16"/>
  <c r="C231" i="16"/>
  <c r="C195" i="16"/>
  <c r="C78" i="16"/>
  <c r="C208" i="16"/>
  <c r="C169" i="16"/>
  <c r="C170" i="16"/>
  <c r="C17" i="16"/>
  <c r="C31" i="16"/>
  <c r="C50" i="16"/>
  <c r="C3" i="16"/>
  <c r="C213" i="16"/>
  <c r="C41" i="16"/>
  <c r="C293" i="16"/>
  <c r="C20" i="16"/>
  <c r="C39" i="16"/>
  <c r="C272" i="16"/>
  <c r="C320" i="16"/>
  <c r="C281" i="16"/>
  <c r="C262" i="16"/>
  <c r="C258" i="16"/>
  <c r="C159" i="16"/>
  <c r="C324" i="16"/>
  <c r="C271" i="16"/>
  <c r="C298" i="16"/>
  <c r="C153" i="16"/>
  <c r="C168" i="16"/>
  <c r="C123" i="16"/>
  <c r="C57" i="16"/>
  <c r="C230" i="16"/>
  <c r="C322" i="16"/>
  <c r="C174" i="16"/>
  <c r="C53" i="16"/>
  <c r="C42" i="16"/>
  <c r="C211" i="16"/>
  <c r="C63" i="16"/>
  <c r="C114" i="16"/>
  <c r="C278" i="16"/>
  <c r="C312" i="16"/>
  <c r="C194" i="16"/>
  <c r="C254" i="16"/>
  <c r="C302" i="16"/>
  <c r="C38" i="16"/>
  <c r="C34" i="16"/>
  <c r="C240" i="16"/>
  <c r="C219" i="16"/>
  <c r="C198" i="16"/>
  <c r="C49" i="16"/>
  <c r="C83" i="16"/>
  <c r="C275" i="16"/>
  <c r="C21" i="16"/>
  <c r="C109" i="16"/>
  <c r="C233" i="16"/>
  <c r="C77" i="16"/>
  <c r="C137" i="16"/>
  <c r="C6" i="16"/>
  <c r="C191" i="16"/>
  <c r="C234" i="16"/>
  <c r="C138" i="16"/>
  <c r="C18" i="16"/>
  <c r="C88" i="16"/>
  <c r="C306" i="16"/>
  <c r="C276" i="16"/>
  <c r="C79" i="16"/>
  <c r="C94" i="16"/>
  <c r="C247" i="16"/>
  <c r="C206" i="16"/>
  <c r="C29" i="16"/>
  <c r="C82" i="16"/>
  <c r="C251" i="16"/>
  <c r="C129" i="16"/>
  <c r="C305" i="16"/>
  <c r="C10" i="16"/>
  <c r="C148" i="16"/>
  <c r="C309" i="16"/>
  <c r="C290" i="16"/>
  <c r="C127" i="16"/>
  <c r="C296" i="16"/>
  <c r="C185" i="16"/>
  <c r="C84" i="16"/>
  <c r="C277" i="16"/>
  <c r="C269" i="16"/>
  <c r="C245" i="16"/>
  <c r="C223" i="16"/>
  <c r="C12" i="16"/>
  <c r="C192" i="16"/>
  <c r="C256" i="16"/>
  <c r="C311" i="16"/>
  <c r="C273" i="16"/>
  <c r="C80" i="16"/>
  <c r="C25" i="16"/>
  <c r="C23" i="16"/>
  <c r="C177" i="16"/>
  <c r="C108" i="16"/>
  <c r="C95" i="16"/>
  <c r="C279" i="16"/>
  <c r="C270" i="16"/>
  <c r="C235" i="16"/>
  <c r="C9" i="16"/>
  <c r="C216" i="16"/>
  <c r="C327" i="16"/>
  <c r="C172" i="16"/>
  <c r="C92" i="16"/>
  <c r="C30" i="16"/>
  <c r="C176" i="16"/>
  <c r="C226" i="16"/>
  <c r="C259" i="16"/>
  <c r="C104" i="16"/>
  <c r="C120" i="16"/>
  <c r="C310" i="16"/>
  <c r="C52" i="16"/>
  <c r="C145" i="16"/>
  <c r="C243" i="16"/>
  <c r="C161" i="16"/>
  <c r="C8" i="16"/>
  <c r="C67" i="16"/>
  <c r="C202" i="16"/>
  <c r="C221" i="16"/>
  <c r="C60" i="16"/>
  <c r="C190" i="16"/>
  <c r="C201" i="16"/>
  <c r="C22" i="16"/>
  <c r="C210" i="16"/>
  <c r="C158" i="16"/>
  <c r="C204" i="16"/>
  <c r="C130" i="16"/>
  <c r="C227" i="16"/>
  <c r="C32" i="16"/>
  <c r="C242" i="16"/>
  <c r="C144" i="16"/>
  <c r="C326" i="16"/>
  <c r="C45" i="16"/>
  <c r="C97" i="16"/>
  <c r="C263" i="16"/>
  <c r="C297" i="16"/>
  <c r="C65" i="16"/>
  <c r="C128" i="16"/>
  <c r="C125" i="16"/>
  <c r="C186" i="16"/>
  <c r="C140" i="16"/>
  <c r="C196" i="16"/>
  <c r="B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E6F338-E9B6-4D99-91A3-FB27C09D3E90}" keepAlive="1" name="Query - CoCen_Key_ID2" description="Connection to the 'CoCen_Key_ID2' query in the workbook." type="5" refreshedVersion="8" background="1" saveData="1">
    <dbPr connection="Provider=Microsoft.Mashup.OleDb.1;Data Source=$Workbook$;Location=CoCen_Key_ID2;Extended Properties=&quot;&quot;" command="SELECT * FROM [CoCen_Key_ID2]"/>
  </connection>
  <connection id="2" xr16:uid="{8D40CB65-F3B0-40DD-B74A-200EAD3DB1BC}" keepAlive="1" name="Query - PNR_Mtble" description="Connection to the 'PNR_Mtble' query in the workbook." type="5" refreshedVersion="8" background="1" saveData="1">
    <dbPr connection="Provider=Microsoft.Mashup.OleDb.1;Data Source=$Workbook$;Location=PNR_Mtble;Extended Properties=&quot;&quot;" command="SELECT * FROM [PNR_Mtble]"/>
  </connection>
  <connection id="3" xr16:uid="{9C17C036-E3FF-42A1-AC51-8CF7184DE3E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F4A4CF88-BA1F-4953-9D4F-17F17EAC44D3}" name="WorksheetConnection_Book1!Itm_Cat" type="102" refreshedVersion="8" minRefreshableVersion="5">
    <extLst>
      <ext xmlns:x15="http://schemas.microsoft.com/office/spreadsheetml/2010/11/main" uri="{DE250136-89BD-433C-8126-D09CA5730AF9}">
        <x15:connection id="Itm_Cat">
          <x15:rangePr sourceName="_xlcn.WorksheetConnection_Book1Itm_Cat1"/>
        </x15:connection>
      </ext>
    </extLst>
  </connection>
  <connection id="5" xr16:uid="{334FA93F-D1FF-4061-8639-F5EA6E9C77DA}" name="WorksheetConnection_Book1!Itm_Cat_Key" type="102" refreshedVersion="8" minRefreshableVersion="5">
    <extLst>
      <ext xmlns:x15="http://schemas.microsoft.com/office/spreadsheetml/2010/11/main" uri="{DE250136-89BD-433C-8126-D09CA5730AF9}">
        <x15:connection id="Itm_Cat_Key">
          <x15:rangePr sourceName="_xlcn.WorksheetConnection_Book1Itm_Cat_Key1"/>
        </x15:connection>
      </ext>
    </extLst>
  </connection>
  <connection id="6" xr16:uid="{EB81D7C8-5F37-4ACB-9FFE-F2E1A33A8CF0}" name="WorksheetConnection_Data_Base_Mtbls.xlsx!Bud_Pur_Trxtbl" type="102" refreshedVersion="8" minRefreshableVersion="5">
    <extLst>
      <ext xmlns:x15="http://schemas.microsoft.com/office/spreadsheetml/2010/11/main" uri="{DE250136-89BD-433C-8126-D09CA5730AF9}">
        <x15:connection id="Bud_Pur_Trxtbl">
          <x15:rangePr sourceName="_xlcn.WorksheetConnection_Data_Base_Mtbls.xlsxBud_Pur_Trxtbl1"/>
        </x15:connection>
      </ext>
    </extLst>
  </connection>
  <connection id="7" xr16:uid="{E141FC2D-A442-4DFC-B93D-E6D14045D92D}" name="WorksheetConnection_Data_Base_Mtbls.xlsx!Client_master" type="102" refreshedVersion="8" minRefreshableVersion="5">
    <extLst>
      <ext xmlns:x15="http://schemas.microsoft.com/office/spreadsheetml/2010/11/main" uri="{DE250136-89BD-433C-8126-D09CA5730AF9}">
        <x15:connection id="Client_master">
          <x15:rangePr sourceName="_xlcn.WorksheetConnection_Data_Base_Mtbls.xlsxClient_master1"/>
        </x15:connection>
      </ext>
    </extLst>
  </connection>
  <connection id="8" xr16:uid="{668E1007-5131-4C13-A1B6-4D34290C9FAB}" name="WorksheetConnection_Data_Base_Mtbls.xlsx!Own_Mtbl" type="102" refreshedVersion="8" minRefreshableVersion="5">
    <extLst>
      <ext xmlns:x15="http://schemas.microsoft.com/office/spreadsheetml/2010/11/main" uri="{DE250136-89BD-433C-8126-D09CA5730AF9}">
        <x15:connection id="Own_Mtbl">
          <x15:rangePr sourceName="_xlcn.WorksheetConnection_Data_Base_Mtbls.xlsxOwn_Mtbl1"/>
        </x15:connection>
      </ext>
    </extLst>
  </connection>
  <connection id="9" xr16:uid="{0F5B6DD7-E6CC-4396-96F3-307D1F96C8F1}" name="WorksheetConnection_Data_Base_Mtbls.xlsx!Stff_Mtbl" type="102" refreshedVersion="8" minRefreshableVersion="5">
    <extLst>
      <ext xmlns:x15="http://schemas.microsoft.com/office/spreadsheetml/2010/11/main" uri="{DE250136-89BD-433C-8126-D09CA5730AF9}">
        <x15:connection id="Stff_Mtbl">
          <x15:rangePr sourceName="_xlcn.WorksheetConnection_Data_Base_Mtbls.xlsxStff_Mtbl1"/>
        </x15:connection>
      </ext>
    </extLst>
  </connection>
  <connection id="10" xr16:uid="{DB85AC2C-3A84-4638-9CEF-C64E21EFA33D}" name="WorksheetConnection_Data_Base_Mtbls.xlsx!Sup_Mtbl" type="102" refreshedVersion="8" minRefreshableVersion="5">
    <extLst>
      <ext xmlns:x15="http://schemas.microsoft.com/office/spreadsheetml/2010/11/main" uri="{DE250136-89BD-433C-8126-D09CA5730AF9}">
        <x15:connection id="Sup_Mtbl">
          <x15:rangePr sourceName="_xlcn.WorksheetConnection_Data_Base_Mtbls.xlsxSup_Mtbl1"/>
        </x15:connection>
      </ext>
    </extLst>
  </connection>
</connections>
</file>

<file path=xl/sharedStrings.xml><?xml version="1.0" encoding="utf-8"?>
<sst xmlns="http://schemas.openxmlformats.org/spreadsheetml/2006/main" count="5791" uniqueCount="2302">
  <si>
    <t>Item_Cat_ID</t>
  </si>
  <si>
    <t>METUSH</t>
  </si>
  <si>
    <t>Usering Services - Haring Users &amp; Uniform</t>
  </si>
  <si>
    <t>F&amp;B</t>
  </si>
  <si>
    <t>food and baverage</t>
  </si>
  <si>
    <t>Enter</t>
  </si>
  <si>
    <t xml:space="preserve">Entertainments Activities &amp; Training </t>
  </si>
  <si>
    <t>BOTHP</t>
  </si>
  <si>
    <t>Both Production &amp; Interior Decoration</t>
  </si>
  <si>
    <t>METBRNEQ</t>
  </si>
  <si>
    <t xml:space="preserve">Branding Eliments in door &amp; outdoor advertisment customized printed items </t>
  </si>
  <si>
    <t>METBSEQ</t>
  </si>
  <si>
    <t xml:space="preserve">Sound &amp; Light Equipments </t>
  </si>
  <si>
    <t>METPHODOC</t>
  </si>
  <si>
    <t>Event Photo &amp; Vido documetnery services</t>
  </si>
  <si>
    <t>Rev</t>
  </si>
  <si>
    <t>Incentive House Management Fees</t>
  </si>
  <si>
    <t>Trans</t>
  </si>
  <si>
    <t xml:space="preserve">transfers &amp; transportation among the event </t>
  </si>
  <si>
    <t>METACC</t>
  </si>
  <si>
    <t>Meeting Rooms &amp; Meeting Area Accomodation</t>
  </si>
  <si>
    <t>ACC</t>
  </si>
  <si>
    <t xml:space="preserve">Hotel Accomodation </t>
  </si>
  <si>
    <t>METARR</t>
  </si>
  <si>
    <t>Land Arrangments</t>
  </si>
  <si>
    <t>METGIVE</t>
  </si>
  <si>
    <t xml:space="preserve">Giveaways Trophies </t>
  </si>
  <si>
    <t>METBRANDEC</t>
  </si>
  <si>
    <t>Meeting Decore Stage LED LCD Screens</t>
  </si>
  <si>
    <t>CARENT</t>
  </si>
  <si>
    <t xml:space="preserve">Car Rent </t>
  </si>
  <si>
    <t>OffSTA</t>
  </si>
  <si>
    <t xml:space="preserve">Office Stationary &amp; IT equipments </t>
  </si>
  <si>
    <t>AIRTKT</t>
  </si>
  <si>
    <t xml:space="preserve">Air tickets </t>
  </si>
  <si>
    <t>CARMIN</t>
  </si>
  <si>
    <t>veichel maintenanace &amp; insurance full</t>
  </si>
  <si>
    <t>Office Rent Monthly utility and sustaining activites</t>
  </si>
  <si>
    <t>Item_Categ</t>
  </si>
  <si>
    <t xml:space="preserve">Einvoice Key Code Name </t>
  </si>
  <si>
    <t xml:space="preserve">وجبات كاترينج </t>
  </si>
  <si>
    <t>016320/BLEED LINE</t>
  </si>
  <si>
    <t>AIR FILTER ELEMENT</t>
  </si>
  <si>
    <t>BRAKEPAD WEAR SENSOR</t>
  </si>
  <si>
    <t>خدمات الانتقال</t>
  </si>
  <si>
    <t>إدارة الأعمال والخدمات الاستشارية</t>
  </si>
  <si>
    <t>خدمات الإقامة المؤقتة</t>
  </si>
  <si>
    <t>وجبات جاهزة - عبوات متنوعة جاهزة للأكل</t>
  </si>
  <si>
    <t>Advertising Services</t>
  </si>
  <si>
    <t>مشروبات غير كحولية متنوعة</t>
  </si>
  <si>
    <t>Entertainment Services</t>
  </si>
  <si>
    <t>الدوریات المطبوعة</t>
  </si>
  <si>
    <t>رحلات وخدمات سياحية</t>
  </si>
  <si>
    <t>حفلات وشو</t>
  </si>
  <si>
    <t>نماذج/أوراق العمل - المطبوعة مسبقاً</t>
  </si>
  <si>
    <t>خدمات الإعلان</t>
  </si>
  <si>
    <t>تصوير فيديو</t>
  </si>
  <si>
    <t>دعاية واعلان</t>
  </si>
  <si>
    <t>إدارة و تنسيق الأحداث</t>
  </si>
  <si>
    <t xml:space="preserve">حدمات سياحيه مختلفه </t>
  </si>
  <si>
    <t>نقل سياحي</t>
  </si>
  <si>
    <t>مجموعات متنوعة من الأغذية/المشروبات/التبغ</t>
  </si>
  <si>
    <t>تأجير أجهزة صوت</t>
  </si>
  <si>
    <t>تأجير أجهزة ومعدات حفلات</t>
  </si>
  <si>
    <t>خدمات الاقامة بالغرف</t>
  </si>
  <si>
    <t>ماكولات متنوعة</t>
  </si>
  <si>
    <t>توريدات عمومية</t>
  </si>
  <si>
    <t>تدريب</t>
  </si>
  <si>
    <t>فندق جى دبليو ماريوت  فطار فى الباتسرى  1.0 عدد</t>
  </si>
  <si>
    <t>فندق جى دبليو ماريوت  سناكس و مشروبات بالحفلات  1.0 عدد</t>
  </si>
  <si>
    <t>جراج</t>
  </si>
  <si>
    <t>Banq Lunch Internet OS</t>
  </si>
  <si>
    <t>Bag 1 [CF801BLU0]</t>
  </si>
  <si>
    <t>الملصقات/المطبوعات</t>
  </si>
  <si>
    <t>خدمات اعلانية</t>
  </si>
  <si>
    <t>غداء بي كي جي - بي جي</t>
  </si>
  <si>
    <t>اللعب / الألعاب</t>
  </si>
  <si>
    <t>مجموعات متنوعة من اللوحات الخشبية المجمعة</t>
  </si>
  <si>
    <t>أوراق/بطاقات - غير مطبوعة</t>
  </si>
  <si>
    <t>تصوير فوتغرافى</t>
  </si>
  <si>
    <t>عشاء PKG - BG</t>
  </si>
  <si>
    <t>خدمات مالية و ايجار</t>
  </si>
  <si>
    <t>إطارات الصور</t>
  </si>
  <si>
    <t>أيس بوكس</t>
  </si>
  <si>
    <t>طعام عشاء بالافريون</t>
  </si>
  <si>
    <t>طعام عشاء الصيادين</t>
  </si>
  <si>
    <t>جائزة /185/265/17</t>
  </si>
  <si>
    <t>Door to Door Service 2</t>
  </si>
  <si>
    <t>ENGINE MOUNT</t>
  </si>
  <si>
    <t>Extra work for: service: repla</t>
  </si>
  <si>
    <t>Oil Filter</t>
  </si>
  <si>
    <t>Perform service a with plus pa</t>
  </si>
  <si>
    <t>طعام الغداء بالافريون</t>
  </si>
  <si>
    <t>شيكولا كلاسيك</t>
  </si>
  <si>
    <t>شيكولا ديلوكس</t>
  </si>
  <si>
    <t>خدمات المأكولات و المشروبات بالمطاعم او الغرف بالفندق</t>
  </si>
  <si>
    <t>خدمات الأطعمة والمشروبات</t>
  </si>
  <si>
    <t>DISK BRAKE PAD</t>
  </si>
  <si>
    <t>Check individual parts of trac</t>
  </si>
  <si>
    <t>QUARTZ INEO MDC 5W30</t>
  </si>
  <si>
    <t>Remove/install 4 complete whee</t>
  </si>
  <si>
    <t>Replace 2 front engine mounts</t>
  </si>
  <si>
    <t>Replace engine mount for rear</t>
  </si>
  <si>
    <t>SPARK PLUG</t>
  </si>
  <si>
    <t>TRANSMISSION MOUNT</t>
  </si>
  <si>
    <t>PROFSER</t>
  </si>
  <si>
    <t>اتعاب مهنية</t>
  </si>
  <si>
    <t>ادوات مكتبيه</t>
  </si>
  <si>
    <t>الخدمات المالية</t>
  </si>
  <si>
    <t>الكارت الذكى</t>
  </si>
  <si>
    <t>تذاكر طيران</t>
  </si>
  <si>
    <t>خدمات محاسبية</t>
  </si>
  <si>
    <t>مج حرارى ديجيتال</t>
  </si>
  <si>
    <t>إيرادات الغرفة</t>
  </si>
  <si>
    <t>بي كي جي بي كيه إف - بي جي</t>
  </si>
  <si>
    <t>أطعمه</t>
  </si>
  <si>
    <t>إيرادات حصة المشروبات الخفيفة</t>
  </si>
  <si>
    <t>مواصلات</t>
  </si>
  <si>
    <t>إيرادات حصة الغذاء</t>
  </si>
  <si>
    <t>إيرادات حصة العشاء</t>
  </si>
  <si>
    <t>إيرادات حصة الافطار</t>
  </si>
  <si>
    <t>خدمة نقل توكتوك</t>
  </si>
  <si>
    <t xml:space="preserve">تأجير أجهزة إضاءة </t>
  </si>
  <si>
    <t>شهادة التوقيع الالكترونى</t>
  </si>
  <si>
    <t>فندق جى دبليو ماريوت  موقف السيارات  1.0 عدد</t>
  </si>
  <si>
    <t>فندق جى دبليو ماريوت  مكتب خدمة رجال الاعمال  1.0 عدد</t>
  </si>
  <si>
    <t>رسوم المغادرة المتأخره</t>
  </si>
  <si>
    <t>إيرادات الأغذية فى قاعة الإجتماعات</t>
  </si>
  <si>
    <t>إيرادات الأغذية فى المطعم الرئيسي</t>
  </si>
  <si>
    <t>إيرادات الأغذية فى السوما بار</t>
  </si>
  <si>
    <t>سوفت بيف.سبليت جنيه مصري</t>
  </si>
  <si>
    <t>تصويرفديو قصير</t>
  </si>
  <si>
    <t>انواع مختلفة من المأكولات</t>
  </si>
  <si>
    <t xml:space="preserve">Garage &amp; Parking Lot  </t>
  </si>
  <si>
    <t>Miscellaneous Charge</t>
  </si>
  <si>
    <t>Room Charge</t>
  </si>
  <si>
    <t xml:space="preserve">اغذيه ومشروبات </t>
  </si>
  <si>
    <t xml:space="preserve">اغذية ومشروبات </t>
  </si>
  <si>
    <t>تكميلى - خاصه</t>
  </si>
  <si>
    <t>التصنيف المؤقت</t>
  </si>
  <si>
    <t xml:space="preserve">تأجير خدمات تسويقية </t>
  </si>
  <si>
    <t>Wholesale Rate</t>
  </si>
  <si>
    <t xml:space="preserve">Straight Kitchen Breakfast Package  </t>
  </si>
  <si>
    <t>Replace brakepads and brake di</t>
  </si>
  <si>
    <t xml:space="preserve">Mini Bar Package  </t>
  </si>
  <si>
    <t>Eight Dinner Soft Drinks OS</t>
  </si>
  <si>
    <t>Eight Dinner Food OS</t>
  </si>
  <si>
    <t>COMPOUND BRAKE DISK</t>
  </si>
  <si>
    <t>Banquet BKF. - Food</t>
  </si>
  <si>
    <t>Banq Lunch Soft Drinks OS</t>
  </si>
  <si>
    <t>Banq Lunch Food OS</t>
  </si>
  <si>
    <t>Banq Dinner Soft Drinks OS</t>
  </si>
  <si>
    <t>Banq Dinner Food OS</t>
  </si>
  <si>
    <t>Banq Dinner Dev. Tax 10%</t>
  </si>
  <si>
    <t>Banq Coffee Brk Food OS</t>
  </si>
  <si>
    <t>Banq C Brk Soft Drinks OS</t>
  </si>
  <si>
    <t>22401</t>
  </si>
  <si>
    <t>15015</t>
  </si>
  <si>
    <t>15001</t>
  </si>
  <si>
    <t>4032</t>
  </si>
  <si>
    <t>4031</t>
  </si>
  <si>
    <t>4021</t>
  </si>
  <si>
    <t>Garage &amp; Parking - In House Guest</t>
  </si>
  <si>
    <t>3341</t>
  </si>
  <si>
    <t>2523</t>
  </si>
  <si>
    <t xml:space="preserve">تصوير فديو </t>
  </si>
  <si>
    <t xml:space="preserve">تحريرفديو </t>
  </si>
  <si>
    <t>أجهزة تعزيز الإشارة</t>
  </si>
  <si>
    <t>٢٣٤١</t>
  </si>
  <si>
    <t>خدمات باركينج</t>
  </si>
  <si>
    <t>2168</t>
  </si>
  <si>
    <t>الخدمات الإعلانية</t>
  </si>
  <si>
    <t>2167</t>
  </si>
  <si>
    <t>2162</t>
  </si>
  <si>
    <t>نقل خامات</t>
  </si>
  <si>
    <t>2161</t>
  </si>
  <si>
    <t>فوم منظف محرك</t>
  </si>
  <si>
    <t>2159</t>
  </si>
  <si>
    <t>خدمات الترفيه</t>
  </si>
  <si>
    <t>الخدمات السمعية البصرية</t>
  </si>
  <si>
    <t xml:space="preserve">قطع غيار ماكينات الطباعة </t>
  </si>
  <si>
    <t>مياه مقطرة</t>
  </si>
  <si>
    <t>ورق</t>
  </si>
  <si>
    <t>خدمات الاقامه المؤقته</t>
  </si>
  <si>
    <t>هدايا كريستال عصفور</t>
  </si>
  <si>
    <t xml:space="preserve">Internet ( B.Centre )  </t>
  </si>
  <si>
    <t>ايراد غرفه</t>
  </si>
  <si>
    <t>2158</t>
  </si>
  <si>
    <t>إيرادات المغسلة للنزلاء</t>
  </si>
  <si>
    <t>2157</t>
  </si>
  <si>
    <t>2156</t>
  </si>
  <si>
    <t>2155</t>
  </si>
  <si>
    <t>رسوم المغادره المتأخره</t>
  </si>
  <si>
    <t>إيرادات الاقامة</t>
  </si>
  <si>
    <t>1675</t>
  </si>
  <si>
    <t>1301</t>
  </si>
  <si>
    <t>1126</t>
  </si>
  <si>
    <t>Professional Fees</t>
  </si>
  <si>
    <t>Item Des.</t>
  </si>
  <si>
    <t>Ushers Totaling of (8F + 7M):</t>
  </si>
  <si>
    <t>Ushers Uniforms - own black suit with white shirt - scarf for ladies / ties for gents</t>
  </si>
  <si>
    <t>Option A : St. Regis - Steak House</t>
  </si>
  <si>
    <t>Rana Arafa</t>
  </si>
  <si>
    <t>Poduim / Presenter Desk (specially designed with acrylic lighted logo)</t>
  </si>
  <si>
    <t>Side Banners</t>
  </si>
  <si>
    <t xml:space="preserve">Centerpieces - specially made with battery light / logo </t>
  </si>
  <si>
    <t>Branded Qubes (5 X 50cm)</t>
  </si>
  <si>
    <t>Branded Qubes (5 X 70cm)</t>
  </si>
  <si>
    <t>rental of 4 modern chairs (white) + 3 coffee tables</t>
  </si>
  <si>
    <t xml:space="preserve">Production of : Backwall 3m width X 3m height + wooden 1 logo </t>
  </si>
  <si>
    <t xml:space="preserve">Furniture - 2 bar stools + 1 wide counter table  (2m) + on side 1 high table </t>
  </si>
  <si>
    <t xml:space="preserve">Wooden walls production between booths with 3D event logos  </t>
  </si>
  <si>
    <t xml:space="preserve">high tables set (each 1 table with 4 chairs) </t>
  </si>
  <si>
    <t xml:space="preserve">4m width X 3m height with die cut logo </t>
  </si>
  <si>
    <t xml:space="preserve">specially designed long desk - with backwall - diecuts &amp; LED profiles lighting &amp; acrylic logo </t>
  </si>
  <si>
    <t>e-invitation + QR - code / registration</t>
  </si>
  <si>
    <t>Photo Booth</t>
  </si>
  <si>
    <t>3D Mockup</t>
  </si>
  <si>
    <t>2 lounges - each 2 sofas (3 seaters but for 2)  + 2 arm chairs</t>
  </si>
  <si>
    <t>** Designing fees - 3D</t>
  </si>
  <si>
    <t>** Transportation &amp; assembling / disambling of : (screens, AV, stages, production, …)</t>
  </si>
  <si>
    <t>Name Tags &amp;Lanyards</t>
  </si>
  <si>
    <t>Direction Signs</t>
  </si>
  <si>
    <t>Shirts with embroiderad 2 logos</t>
  </si>
  <si>
    <t xml:space="preserve">Printing of Special Parking Cards </t>
  </si>
  <si>
    <t>for background music throughout the day - with 12 channels mixer</t>
  </si>
  <si>
    <t>additional mixers for other areas</t>
  </si>
  <si>
    <t>2 main LED screens on sides (each 4m width X 3m height) - totaling 24 meters screens</t>
  </si>
  <si>
    <t>Extra Screens (sides &amp; ceiling) - dimensions estimated</t>
  </si>
  <si>
    <t>Media Server</t>
  </si>
  <si>
    <t xml:space="preserve">Backdrop framing 2 screens + 1 banner in middle with acrylic logo/s &amp; die cuts (totaling 14m width X 5 height) </t>
  </si>
  <si>
    <t>on ground screens for presenters &amp; speakers - in sync with the main screen + 1 timer</t>
  </si>
  <si>
    <t>Rental of professonal sound system ; high speakers, speakers surround, microphones (4 headsets + 2 handheld) , rack</t>
  </si>
  <si>
    <t>Rental of professional light system (Clay Packy) - inclusive of moving heads, trusses, wash lights, beams, profiles, etc..</t>
  </si>
  <si>
    <t xml:space="preserve">LED Towers (each 1m width X 3m height) for messages, solgans, logo/s </t>
  </si>
  <si>
    <t xml:space="preserve">LED / Plazma - 40inch - TV </t>
  </si>
  <si>
    <t>Rental of professonal sound system including high speakers for background music</t>
  </si>
  <si>
    <t>Rental of professional light system (Clay Packy) - wash light &amp; effects + LED bars</t>
  </si>
  <si>
    <t xml:space="preserve">LED Screens </t>
  </si>
  <si>
    <t>Laptops</t>
  </si>
  <si>
    <t>Monitors</t>
  </si>
  <si>
    <t>Printers</t>
  </si>
  <si>
    <t>Separators</t>
  </si>
  <si>
    <t>Gate including LED arch</t>
  </si>
  <si>
    <t>LED Towers (with the agenda &amp; logos) - each 1m width X 3m height</t>
  </si>
  <si>
    <t>Sound system (background music)</t>
  </si>
  <si>
    <t>Light System</t>
  </si>
  <si>
    <t>1 LED Tower - 1m width X 3m height</t>
  </si>
  <si>
    <t>Media wall (3m X 2m) for greetings &amp; photos</t>
  </si>
  <si>
    <t xml:space="preserve">Photo Shooting </t>
  </si>
  <si>
    <t xml:space="preserve">Video Shooting </t>
  </si>
  <si>
    <t>Promo Movie : 2-3min movie for the whole event &amp; main highlights with montage &amp; effects</t>
  </si>
  <si>
    <t>Photo Printing - on spot</t>
  </si>
  <si>
    <t>Management Fees</t>
  </si>
  <si>
    <t>Transportation via different method Tuk Tuk</t>
  </si>
  <si>
    <t>Transportation to/from Marina</t>
  </si>
  <si>
    <t>full dedicated escort throughout the event (from/to Cairo)</t>
  </si>
  <si>
    <t>Minii Van from/to Cairo - - cost per vehicle per way</t>
  </si>
  <si>
    <t xml:space="preserve">Minii Van from/to Cairo - - cost per vehicle per way VAT </t>
  </si>
  <si>
    <t>VAT on Management Fees</t>
  </si>
  <si>
    <t xml:space="preserve">Management Fees </t>
  </si>
  <si>
    <t>Basic Meeting Equipment (stage + LED screen 3 X 2 + sound system with 2 wirless mics)</t>
  </si>
  <si>
    <t>Half Day Meeting  Meeting Room Usage</t>
  </si>
  <si>
    <t xml:space="preserve">Dinner at Megumi </t>
  </si>
  <si>
    <t>Beverage Package ( 1 soft drink + 1 water)</t>
  </si>
  <si>
    <t xml:space="preserve">Dinner at Smokery Restaurant  </t>
  </si>
  <si>
    <t>Boat Trip</t>
  </si>
  <si>
    <t>Sea View Supplement - Per Room</t>
  </si>
  <si>
    <t>Lagoon view Supplement - Per Room</t>
  </si>
  <si>
    <t>Per Person in Single room (garden view)</t>
  </si>
  <si>
    <t>Per Person sharing double (twin) room</t>
  </si>
  <si>
    <t>Menu as enclosed</t>
  </si>
  <si>
    <t>Beverages one soft drink + one water</t>
  </si>
  <si>
    <t>Ushers (1F)</t>
  </si>
  <si>
    <t>Beverages Package for 2 hours</t>
  </si>
  <si>
    <t xml:space="preserve">Special Parking Cards </t>
  </si>
  <si>
    <t>Wifi cards</t>
  </si>
  <si>
    <t>Sohour meal</t>
  </si>
  <si>
    <t>Standard Round tables + banquet chairs - covered with abailable table cloth &amp; chairs covers</t>
  </si>
  <si>
    <t xml:space="preserve">Crystal Trophy with engraving or print </t>
  </si>
  <si>
    <t>Plexi black stage 7m width X 2m depth X 0.4m height</t>
  </si>
  <si>
    <t xml:space="preserve">LED screen - for multi usage of presentation &amp; as branding backdrop / P2 - 3m width X 2m height </t>
  </si>
  <si>
    <t>2 side screens each 1.5m width X 2m height</t>
  </si>
  <si>
    <t>Lighting</t>
  </si>
  <si>
    <t xml:space="preserve">1- Poduim </t>
  </si>
  <si>
    <t>Basic Sound System - with 2 wireless mics</t>
  </si>
  <si>
    <t xml:space="preserve">2- LED Towers (each 1m width X 3m height) </t>
  </si>
  <si>
    <t>Ramadan Annual Sohour - Set Menu Where: Baron Palace - Laylina restaurant When: 18 March 2025</t>
  </si>
  <si>
    <t>Agency fees</t>
  </si>
  <si>
    <t xml:space="preserve">VAT 14% </t>
  </si>
  <si>
    <t>Stage Monitor on ground screens for presenters &amp; speakers - in sync with th</t>
  </si>
  <si>
    <t>Stage / Backdrop / Poduim 8m width X 2m depth X 0.4m Hight with stairs &amp; P</t>
  </si>
  <si>
    <t>LED screen - for multi usage of presentation &amp; as branding backdrop / P2.8- 4m w</t>
  </si>
  <si>
    <t xml:space="preserve">Sound System </t>
  </si>
  <si>
    <t>Full day meeting package inclusive of 2 coffee breaks+ Snacks on regsiteration &amp;</t>
  </si>
  <si>
    <t>Beverage Package (1 soft drink + 1 S Water) during the lunch</t>
  </si>
  <si>
    <t>LED Towers (each 1m width X 3m X 2 towers</t>
  </si>
  <si>
    <t>Pull up Banners (85 cm wide &amp; 215cm kong</t>
  </si>
  <si>
    <t>_Name tags &amp; lanyards</t>
  </si>
  <si>
    <t>_Transportation,labors,assembling &amp; desambling</t>
  </si>
  <si>
    <t>_Ushers</t>
  </si>
  <si>
    <t xml:space="preserve">_Parking Cards </t>
  </si>
  <si>
    <t xml:space="preserve">_Wifi Cards </t>
  </si>
  <si>
    <t xml:space="preserve">_Management Fees </t>
  </si>
  <si>
    <t xml:space="preserve">_VAT on Management Fees </t>
  </si>
  <si>
    <t>Cairo / Sharm El Sheikh on Egyptair Sharm El Sheikh / Cairo on Air Cairo</t>
  </si>
  <si>
    <t>Double room on bed &amp; breakfast basis</t>
  </si>
  <si>
    <t>Gala Dinner by the Hotel Beach</t>
  </si>
  <si>
    <t xml:space="preserve">Special Team Activity (combining wellness with physical activity &amp; productivity) </t>
  </si>
  <si>
    <t>Single room on bed &amp; breakfast basis - Egyptians</t>
  </si>
  <si>
    <t xml:space="preserve">Team Building ** continuing - Supplement for 2nd day 50% </t>
  </si>
  <si>
    <t xml:space="preserve">Half day meeting </t>
  </si>
  <si>
    <t>** Cooler Box 20 ltr</t>
  </si>
  <si>
    <t>** Beach Bag Package Includes :Beach Towel /Cap/Thermal Mug /bag with logo print</t>
  </si>
  <si>
    <t>assigned venue + some bites &amp; soft drinks</t>
  </si>
  <si>
    <t>Daily Full photo &amp; video shooting (throughout the whole day) - 2 shifts</t>
  </si>
  <si>
    <t>Single room on bed &amp; breakfast basis - Foreigners</t>
  </si>
  <si>
    <t>Gala Dinner  Entretainment Options : Trio</t>
  </si>
  <si>
    <t>VAT on Management fees</t>
  </si>
  <si>
    <t>*Gala Dinner  Entretainment Options : Karioke</t>
  </si>
  <si>
    <t>*Gala Dinner  Sound System Incl Stage system +sound system + light system+LED Screen</t>
  </si>
  <si>
    <t>Promo Movie; 3-5min of the whole event with montage &amp; effects</t>
  </si>
  <si>
    <t>Arrive Sharm El Sheikh Airport - transfer to your hotel - cost per bus per way (2 buses is needed)</t>
  </si>
  <si>
    <t>Pick-up from Hotel to be transferred to Sharm El Sheikh Airport cost per bus per way (2 buses are needed)</t>
  </si>
  <si>
    <t xml:space="preserve">stage + 3*2 LED Screen </t>
  </si>
  <si>
    <t>Under water shooting supplement</t>
  </si>
  <si>
    <t>** Photo Frame engraved with event logo &amp; tite</t>
  </si>
  <si>
    <t xml:space="preserve">Special fabric bag with logo print </t>
  </si>
  <si>
    <t xml:space="preserve">Photo Print on spot </t>
  </si>
  <si>
    <t>Ushers (1M + 1F)</t>
  </si>
  <si>
    <t xml:space="preserve">Ushers uniforms -  </t>
  </si>
  <si>
    <t>Option 1 Cooler box</t>
  </si>
  <si>
    <t xml:space="preserve">8m width X 2m depth X 0.4m height with stairs </t>
  </si>
  <si>
    <t>on ground screens for presenters &amp; speakers - in sync with the main screen</t>
  </si>
  <si>
    <t xml:space="preserve">LED screen - for multi usage of presentation &amp; as branding backdrop / P2 - 4m width X 3m height </t>
  </si>
  <si>
    <t>2 LED Towers (Each 3*1)</t>
  </si>
  <si>
    <t xml:space="preserve">3- LED Towers (each 1m width X 3m height) </t>
  </si>
  <si>
    <t>Option 2 Eco Friendly Desk Set</t>
  </si>
  <si>
    <t>Option 3 multi cable charger</t>
  </si>
  <si>
    <t>Meeting Package of 2 coffee breaks + 1 lunch</t>
  </si>
  <si>
    <t>Beverages Package</t>
  </si>
  <si>
    <t xml:space="preserve">Special Wifi Cards </t>
  </si>
  <si>
    <t xml:space="preserve">Transportation Assembling &amp; Dissembling </t>
  </si>
  <si>
    <t>2 -Media Walla</t>
  </si>
  <si>
    <t xml:space="preserve">4- Main screen Frame / Backdrop </t>
  </si>
  <si>
    <t>Poduim with logo &amp; back lights</t>
  </si>
  <si>
    <t>1- Gate</t>
  </si>
  <si>
    <t>Car with driver at disposal for 8hrs (Mercedes E class - 2019)</t>
  </si>
  <si>
    <t>Catering - MS Office</t>
  </si>
  <si>
    <t>Management Fees &amp;</t>
  </si>
  <si>
    <t xml:space="preserve"> VAT on Management Fees</t>
  </si>
  <si>
    <t>Bud_Item_Des.</t>
  </si>
  <si>
    <t>Item_Cat</t>
  </si>
  <si>
    <t>Acc_Key</t>
  </si>
  <si>
    <t>Acc_Name</t>
  </si>
  <si>
    <t>Acc_Name_Arb</t>
  </si>
  <si>
    <t>Categ_Key</t>
  </si>
  <si>
    <t>Establishment Cost</t>
  </si>
  <si>
    <t>ح / مصاريف التأسيس وما قبل التشغيل</t>
  </si>
  <si>
    <t>Fixed Assets - Computre &amp; Lap tops</t>
  </si>
  <si>
    <t xml:space="preserve">أصول ثابتة - كمبيوتر </t>
  </si>
  <si>
    <t xml:space="preserve">Fixed Assets - Vehicle </t>
  </si>
  <si>
    <t>ح / اصول طويلة الأجل -سيارات</t>
  </si>
  <si>
    <t>Cash at Bank - ENBD Current  Account</t>
  </si>
  <si>
    <t>النقدية بالنبوك والصندوق- جنية مصري</t>
  </si>
  <si>
    <t>Cash at Bank - ENBD Euro Account</t>
  </si>
  <si>
    <t>النقدية بالنبوك والصندوق- يورو</t>
  </si>
  <si>
    <t>Cash at Bank - ENBD Saving Account</t>
  </si>
  <si>
    <t>النقدية بالنبوك والصندوق- جنية مصري توفير</t>
  </si>
  <si>
    <t>Cash at Bank - ENBD USD Account</t>
  </si>
  <si>
    <t>النقدية بالنبوك والصندوق- دولار أمريكي</t>
  </si>
  <si>
    <t>Cash in Transit</t>
  </si>
  <si>
    <t>النقدية بالطريق</t>
  </si>
  <si>
    <t>Cash on Hand</t>
  </si>
  <si>
    <t>النقدية بالصندوق</t>
  </si>
  <si>
    <t>Accounts Receivables</t>
  </si>
  <si>
    <t>مدينون وأرصدة  عملاء</t>
  </si>
  <si>
    <t>Staff Loans &amp; Petty Cash settlement Account</t>
  </si>
  <si>
    <t xml:space="preserve">مدينون سلف وعهد العاملين </t>
  </si>
  <si>
    <t>Accounts Payables</t>
  </si>
  <si>
    <t xml:space="preserve">دائنون أرصدة موردين </t>
  </si>
  <si>
    <t>Due to From VAT Autho</t>
  </si>
  <si>
    <t xml:space="preserve">ح / دائنون مصلحة الضرائب القيمة المضافة </t>
  </si>
  <si>
    <t xml:space="preserve">With Holding Tax </t>
  </si>
  <si>
    <t>ح / دائنون مصلحة الضرائب الخصم والأضافة</t>
  </si>
  <si>
    <t>Incentive House Old affiliate's current account</t>
  </si>
  <si>
    <t>ح / جاري شركات شقيقية الشركة القديمة</t>
  </si>
  <si>
    <t>Incentive House UAE affiliate's current account</t>
  </si>
  <si>
    <t>ح / جاري شركات شقيقية الإمارات</t>
  </si>
  <si>
    <t xml:space="preserve">Mr. Maged Shareholder current account </t>
  </si>
  <si>
    <t>ح / جاري الشركاء- أ/ماجد سامي</t>
  </si>
  <si>
    <t>Operating Revenue</t>
  </si>
  <si>
    <t>أيرادات التشغيل المباشر</t>
  </si>
  <si>
    <t>Previous Years Revenue</t>
  </si>
  <si>
    <t>أيرادات سنوات سابقة</t>
  </si>
  <si>
    <t>Direct Cost - Domestic Transfers</t>
  </si>
  <si>
    <t>تكاليف تشغيل مباشر - أنتقالات داخلية</t>
  </si>
  <si>
    <t xml:space="preserve">Direct Cost - Food &amp; Bavarge </t>
  </si>
  <si>
    <t>تكاليف تشغيل مباشر - أغذية ومشروبات</t>
  </si>
  <si>
    <t xml:space="preserve">Direct Cost - Hotel Accom &amp; Meeting Venue </t>
  </si>
  <si>
    <t>تكاليف تشغيل مباشر - أقامات فندية وحجز قاعات</t>
  </si>
  <si>
    <t xml:space="preserve">Direct Cost -Air Tickets </t>
  </si>
  <si>
    <t>تكاليف تشغيل مباشر - تذاكر طيران</t>
  </si>
  <si>
    <t>Direct Cost -Both Production &amp; Decors</t>
  </si>
  <si>
    <t>تكاليف تشغيل مباشر - دعاية وأعلان أعمال ديكور وأكشاك عرض</t>
  </si>
  <si>
    <t>Direct Cost -Branding &amp; Adv Items</t>
  </si>
  <si>
    <t>تكاليف تشغيل مباشر - دعاية وأعلان مطبوعات</t>
  </si>
  <si>
    <t>Direct Cost -Event Photo &amp; Video Documentary</t>
  </si>
  <si>
    <t>تكاليف تشغيل مباشر - دعاية وأعلان تصوير وتوثيق الفعليات</t>
  </si>
  <si>
    <t>Direct Cost -Hearing of Ushers &amp; Uniform</t>
  </si>
  <si>
    <t xml:space="preserve">مصروفات التشغيل المباشر - أجور وزي للمنظمين </t>
  </si>
  <si>
    <t>Direct Cost other Cost</t>
  </si>
  <si>
    <t>مصروفات التشغيل المباشر - مصروفات مباشرة أخري</t>
  </si>
  <si>
    <t xml:space="preserve">Direct Cost -Sound &amp; Light Equip Rent </t>
  </si>
  <si>
    <t>تكاليف تشغيل مباشر - دعاية وأعلان تأجير شاشات عرض ومؤثرات صوتية ومعدات إضاءة</t>
  </si>
  <si>
    <t>Admin &amp; Gen Expen _Office Cattering</t>
  </si>
  <si>
    <t>مصروفات أدارية وعمومية -مصروفات ضيافة</t>
  </si>
  <si>
    <t>Admin &amp; Gen Expen _Office Rent</t>
  </si>
  <si>
    <t>مصروفات أدارية وعمومية إيجار المقر</t>
  </si>
  <si>
    <t>Admin &amp; Gen Expen _Office Stationary &amp; IT Equip</t>
  </si>
  <si>
    <t xml:space="preserve">مصروفات أدارية وعمومية - تكنولوجيا المعلومات و  أدوات مكتبية </t>
  </si>
  <si>
    <t>Admin &amp; Gen Expen _Profi &amp; Con Services</t>
  </si>
  <si>
    <t xml:space="preserve">مصروفات أدارية وعموية أتعاب مهنية  </t>
  </si>
  <si>
    <t>Admin &amp; Gen Expen _Staff Bonus</t>
  </si>
  <si>
    <t>مصروفات أدارية وعمومية - مكافات وقروض العاملين</t>
  </si>
  <si>
    <t>Admin &amp; Gen Expen _Staff Salary</t>
  </si>
  <si>
    <t>مصروفات أدارية وعمومية - أجور ورواتب ومزايا العاملين</t>
  </si>
  <si>
    <t>Admin &amp; Gen Expen _Transportation</t>
  </si>
  <si>
    <t xml:space="preserve">مصروفات أدارية وعموية أنتقالات </t>
  </si>
  <si>
    <t>Admin &amp; Gen Expen _Utility Bills</t>
  </si>
  <si>
    <t>مصروفات أدارية وعموية تليفونات وكهرباء ومرافق</t>
  </si>
  <si>
    <t>Admin &amp; Gen Expen _V. Full&amp; Minten Insur</t>
  </si>
  <si>
    <t>مصروفات أدارية وعمومية - مصروفات وقود وصيانة سيارة  تأمين سيارة</t>
  </si>
  <si>
    <t>Finance Cost _Bnk Charges</t>
  </si>
  <si>
    <t>مصروفات أدارية وعمومية - مصروفات بنكية</t>
  </si>
  <si>
    <t>Finance Cost _Diff of Forn Exn Rat</t>
  </si>
  <si>
    <t>مصروفات أدارية وعمومية فروق عملة</t>
  </si>
  <si>
    <t>Marketing &amp; Sales Expen</t>
  </si>
  <si>
    <t>مصروفات أدارية وعمومية - مصروفات تسويقية وبيعية</t>
  </si>
  <si>
    <t>Income Statement</t>
  </si>
  <si>
    <t>مصروفات أدارية وعمومية</t>
  </si>
  <si>
    <t>Admins &amp; Gen Expen</t>
  </si>
  <si>
    <t>تكلفة المبيعات</t>
  </si>
  <si>
    <t>Direct Operating Cost</t>
  </si>
  <si>
    <t>المبيعات</t>
  </si>
  <si>
    <t>Direct Operating Revenue</t>
  </si>
  <si>
    <t>Balance Sheet</t>
  </si>
  <si>
    <t>حقوق مساهمين</t>
  </si>
  <si>
    <t>Shareholder Equity</t>
  </si>
  <si>
    <t xml:space="preserve">الخصوم قصيرة الأجل </t>
  </si>
  <si>
    <t>Current Liabilities</t>
  </si>
  <si>
    <t>أصول متداولة</t>
  </si>
  <si>
    <t>Current Assets</t>
  </si>
  <si>
    <t>أصول متداولة النقدية بالبنوك والصندوق</t>
  </si>
  <si>
    <t>Cash &amp; Cash Eqivlant</t>
  </si>
  <si>
    <t>الأصول طويلة الأجل</t>
  </si>
  <si>
    <t>Long Term Fixed Assets</t>
  </si>
  <si>
    <t>Corrs_Statment</t>
  </si>
  <si>
    <t>Acc_Cate_Nam_Arb</t>
  </si>
  <si>
    <t>Acc_Categ_Name</t>
  </si>
  <si>
    <t>Client ID</t>
  </si>
  <si>
    <t xml:space="preserve">Branch </t>
  </si>
  <si>
    <t>Event Name -Description</t>
  </si>
  <si>
    <t xml:space="preserve">Customer Name </t>
  </si>
  <si>
    <t>PO Refrance</t>
  </si>
  <si>
    <t>Electronic Invoice #</t>
  </si>
  <si>
    <t>C0002</t>
  </si>
  <si>
    <t>Old Company</t>
  </si>
  <si>
    <t>Standalone 4 days / 3 nights 30 singles  Athnes / Greece</t>
  </si>
  <si>
    <t>Sovalue</t>
  </si>
  <si>
    <t>Movenpick - SOMA BAY 40 Dubiles</t>
  </si>
  <si>
    <t>C0006</t>
  </si>
  <si>
    <t xml:space="preserve">Roundtable Meeting - Cairo ; Dusit Thani Hotel - New Cairo </t>
  </si>
  <si>
    <t>Cisco Systems Egypt Ltd.</t>
  </si>
  <si>
    <t>C0008</t>
  </si>
  <si>
    <t>African Currency Forum 15-19 January, Luxor &amp; Cairo, Egypt</t>
  </si>
  <si>
    <t>Reconnaissance International</t>
  </si>
  <si>
    <t>C0001</t>
  </si>
  <si>
    <t xml:space="preserve">Luxor / Pediatric Nutrition Summit </t>
  </si>
  <si>
    <t>ABBOTT LABORATORIES</t>
  </si>
  <si>
    <t>22419 / 22415</t>
  </si>
  <si>
    <t>Breakfast @ Oozy Rest. Beni Swief</t>
  </si>
  <si>
    <t>Lunch @ Lemon Café</t>
  </si>
  <si>
    <t>Lunch @ Sabahe Rest.</t>
  </si>
  <si>
    <t xml:space="preserve">ADC - Four Seasons 1st Residence </t>
  </si>
  <si>
    <t>Dr. M. Shamy Visa</t>
  </si>
  <si>
    <t>RCOG Ultra Sound - Hilton Heliopolis</t>
  </si>
  <si>
    <t>ART - Steigenbereger Tahrir</t>
  </si>
  <si>
    <t>Women Health - JW Marriott</t>
  </si>
  <si>
    <t xml:space="preserve">Predi Sure Balance </t>
  </si>
  <si>
    <t>23547 / 23554 / 23573</t>
  </si>
  <si>
    <t xml:space="preserve">ANI Meeting - Horus Menia </t>
  </si>
  <si>
    <t>Dr. M. Shamy Visa (accomm + Ticket + visa)</t>
  </si>
  <si>
    <t>MOH Public for Disability</t>
  </si>
  <si>
    <t xml:space="preserve">Trade SA - Holiday Inn - Cairo </t>
  </si>
  <si>
    <t xml:space="preserve">ADC - Alex Steigenberger Cecil </t>
  </si>
  <si>
    <t>Tele Health Conference - Four Seasona Nie</t>
  </si>
  <si>
    <t>Ramez Seddik Accommodation</t>
  </si>
  <si>
    <t>Standalone JW Marriott</t>
  </si>
  <si>
    <t>Fairmont Cairo Standalone</t>
  </si>
  <si>
    <t>ADC - Meridien Airport</t>
  </si>
  <si>
    <t>Abbott EPD Influvac - Semiramis Cairo</t>
  </si>
  <si>
    <t>Abbott EPD Dinner - Babel Rest.</t>
  </si>
  <si>
    <t>Air ticket Luxor + Transfer favor</t>
  </si>
  <si>
    <t>2 Visas Dubai</t>
  </si>
  <si>
    <t>Luxor Tickets + transfers c/o Dr. Essam Kaoud</t>
  </si>
  <si>
    <t>25506 /25445</t>
  </si>
  <si>
    <t>Ahmed El- Shafie Transportation to Fayoum Group meeting  Haram/Fayoum/Haram 24 Nov 2022</t>
  </si>
  <si>
    <t>25733- Dated  Nov 18,22</t>
  </si>
  <si>
    <t>ADC Four Seasons 1st Residence</t>
  </si>
  <si>
    <t xml:space="preserve">Anaa Makarova Transportation Nov. 27 from Airport to Dusit Hotel </t>
  </si>
  <si>
    <t>12012- Dated  Nov 18,22</t>
  </si>
  <si>
    <t>Abbott Advisory board Cairo - November 24</t>
  </si>
  <si>
    <t>4513 &amp; 4532 - Dated Sep11 &amp; Oct19 -2022</t>
  </si>
  <si>
    <t>VISA Application Services   Athnes / Greece Wif's</t>
  </si>
  <si>
    <t>Dr. Ahmed Hendy So Value</t>
  </si>
  <si>
    <t>C0007</t>
  </si>
  <si>
    <t xml:space="preserve">Luxor &amp; Aswan Nile Cruise Mr. Ehab Hanna </t>
  </si>
  <si>
    <t xml:space="preserve">Ehab Hanna </t>
  </si>
  <si>
    <t>C0029</t>
  </si>
  <si>
    <t>Central Bank Of Egypt (banknote Printing Plant)  The Association of African Banknotes and Security Document Printers.</t>
  </si>
  <si>
    <t>C0010</t>
  </si>
  <si>
    <t>ICA Ministerial Meeting &amp; ICCH Confrance October 2022</t>
  </si>
  <si>
    <t>GV Developments</t>
  </si>
  <si>
    <t>GV trophies</t>
  </si>
  <si>
    <t>C0003</t>
  </si>
  <si>
    <t xml:space="preserve">Microsoft Tawer W Ghayar Event </t>
  </si>
  <si>
    <t>MICROSOFT EGYPT LLC</t>
  </si>
  <si>
    <t>C0011</t>
  </si>
  <si>
    <t>Luxor Meeting Feb 16</t>
  </si>
  <si>
    <t xml:space="preserve">Elixir Pharma </t>
  </si>
  <si>
    <t xml:space="preserve">Istanbul _anti Infection March </t>
  </si>
  <si>
    <t>Ashraf Kortam Tanta Transportation- Decemeber 22 Cairo/Tanta /Cairo</t>
  </si>
  <si>
    <t>Abbott EPD</t>
  </si>
  <si>
    <t>26110 - December 20, 2022</t>
  </si>
  <si>
    <t>C0015</t>
  </si>
  <si>
    <t>IQS_African_Currency_forum_2022</t>
  </si>
  <si>
    <t>IQ Structures s.r.o.</t>
  </si>
  <si>
    <t xml:space="preserve">Romena Cermakova mail </t>
  </si>
  <si>
    <t>C0018</t>
  </si>
  <si>
    <t xml:space="preserve">Sponsor Name - Landqart AG </t>
  </si>
  <si>
    <t>Landqart AG</t>
  </si>
  <si>
    <t>C0017</t>
  </si>
  <si>
    <t xml:space="preserve">Meeting Add on Package </t>
  </si>
  <si>
    <t xml:space="preserve">De La Rue </t>
  </si>
  <si>
    <t>C0016</t>
  </si>
  <si>
    <t>Giesecke+Devrient Currency Technology GmbH</t>
  </si>
  <si>
    <t>C0019</t>
  </si>
  <si>
    <t>Meeting Add on Package  TV with stand-reception counter</t>
  </si>
  <si>
    <t>Meta Materials Inc (META®)</t>
  </si>
  <si>
    <t>C0020</t>
  </si>
  <si>
    <t>Meeting Add on Package ===Back wall Printing (4M*240CM)+1 x E01 Lockable Counter+2x E13 Round Glass Table 2+6x 14 White Fabric Chair</t>
  </si>
  <si>
    <t>Luminescene</t>
  </si>
  <si>
    <t>C0021</t>
  </si>
  <si>
    <t>Meeting Add on Package ===Printing logo for counter+2 glass round tables+The 6 chairs should possibly be the same type as the ones coming with our booth and we would like to have 2 matching tables</t>
  </si>
  <si>
    <t>JURA SECURITY PRINTING</t>
  </si>
  <si>
    <t>C0022</t>
  </si>
  <si>
    <t>Meeting Add on Package</t>
  </si>
  <si>
    <t>Koenig &amp; Bauer Banknote Solutions SA</t>
  </si>
  <si>
    <t>C0023</t>
  </si>
  <si>
    <t>Orell Füssli Ltd</t>
  </si>
  <si>
    <t>C0024</t>
  </si>
  <si>
    <t>Security Fibres UK African</t>
  </si>
  <si>
    <t>C0025</t>
  </si>
  <si>
    <t>OBERTHUR FIDUCIAIRE</t>
  </si>
  <si>
    <t>Abbott   Transfer -Cairo/Banha/Cairo</t>
  </si>
  <si>
    <t>C0026</t>
  </si>
  <si>
    <t>Addation to Existing Boths -Printing backdrop 6*2.4/Side Print 2.4*2.4*2</t>
  </si>
  <si>
    <t>Crane Currency</t>
  </si>
  <si>
    <t>C0027</t>
  </si>
  <si>
    <t>IMPRIMERIE NATIONALE SA</t>
  </si>
  <si>
    <t>C0028</t>
  </si>
  <si>
    <t xml:space="preserve">LEONHARD KURZ Stiftung &amp; Co. KG </t>
  </si>
  <si>
    <t>Abbott Organized Standalone</t>
  </si>
  <si>
    <t>Dar Alfouad Abbott Standlone Event Kimpenski</t>
  </si>
  <si>
    <t>Abbott ADC</t>
  </si>
  <si>
    <t>Accomodation &amp; Transportation Dr ahmed Elawa as speaker in EPIC 2023</t>
  </si>
  <si>
    <t>C0030</t>
  </si>
  <si>
    <t xml:space="preserve"> Leading Digital Groth Confrance June 18 Th -2023 Fourseansons Nille Plaza</t>
  </si>
  <si>
    <t>Klayy Tech</t>
  </si>
  <si>
    <t>Proforma Invocie 208</t>
  </si>
  <si>
    <t>Microsoft Bizapps Gov event 70 pax – June 19 @ Chephren meeting room JW Marriott</t>
  </si>
  <si>
    <t xml:space="preserve"> #100671918 </t>
  </si>
  <si>
    <t>C0031</t>
  </si>
  <si>
    <t>Customers Event 4 days / 3 nights 40 Singles Sharm El Sheikh August 9 - 12</t>
  </si>
  <si>
    <t>E- Finance Co</t>
  </si>
  <si>
    <t xml:space="preserve">Previous Year Adustments </t>
  </si>
  <si>
    <t xml:space="preserve">E Finance </t>
  </si>
  <si>
    <t>(blank)</t>
  </si>
  <si>
    <t>3N4ZTDH7B51MF6BVCT6F6HPH10</t>
  </si>
  <si>
    <t>C0037</t>
  </si>
  <si>
    <t>CAIRO BRANCH</t>
  </si>
  <si>
    <t>Crve 50 attendees for coffee breaks / 50 attendees for lunch MS Office - Smart Village</t>
  </si>
  <si>
    <t>Orion 360</t>
  </si>
  <si>
    <t>B3SZ6J8SJFM38DATT12969MH10</t>
  </si>
  <si>
    <t>Sedra Office Catering MS Office - Smart Village</t>
  </si>
  <si>
    <t>0WJYY6Z5F4X1A8XH8NKE4PMH10</t>
  </si>
  <si>
    <t>JW Marriott Microsoft Internal Workshop JW Marriott</t>
  </si>
  <si>
    <t>5H7G22FBF90Y8DQ106SM8ANH10</t>
  </si>
  <si>
    <t>MANYIA WEN Capacity Building Bootcamp in Ismailia for Women Led Startups on 2-3 Feb, 2024</t>
  </si>
  <si>
    <t>US-AID</t>
  </si>
  <si>
    <t>F9Z2E22C3C2F2R5S08K2GWNH10</t>
  </si>
  <si>
    <t xml:space="preserve">MLuxor Steigenberger 50 Singles  4 days / 3 nights </t>
  </si>
  <si>
    <t>1N3WZG7KPA784HY4864YA5RH10</t>
  </si>
  <si>
    <t>UAE Branch</t>
  </si>
  <si>
    <t>Microsoft - AI Summit Abdeen Palace</t>
  </si>
  <si>
    <t>MICROSOFT EGYPT LLC Dubai Office</t>
  </si>
  <si>
    <t>C0038</t>
  </si>
  <si>
    <t>VZ892YRW8QX6H1J0P0WY6MRH10</t>
  </si>
  <si>
    <t>Abbott ADC Training</t>
  </si>
  <si>
    <t>Abbott Nutrition</t>
  </si>
  <si>
    <t>N06GSB19DQ60XHB4BXFNWAYH10</t>
  </si>
  <si>
    <t>C0158</t>
  </si>
  <si>
    <t>The Brand Machine</t>
  </si>
  <si>
    <t>The Brand Mechanics</t>
  </si>
  <si>
    <t xml:space="preserve">Microsoft - Family Day 300 </t>
  </si>
  <si>
    <t>2WPKX9CDVBPS1X2H2VXTXV1J10</t>
  </si>
  <si>
    <t>Microsoft Kick Off 2024</t>
  </si>
  <si>
    <t>JC9JSE1W23349DD358BTJWAJ10</t>
  </si>
  <si>
    <t>Discovery Day 21 pax Dusit Thani</t>
  </si>
  <si>
    <t>101114208 &amp; 101143252</t>
  </si>
  <si>
    <t>C2E19YG5N204RAV043YH1CBJ10</t>
  </si>
  <si>
    <t>C0159</t>
  </si>
  <si>
    <t>Movenpick El Gouna Hotel</t>
  </si>
  <si>
    <t xml:space="preserve">Direct Egypt </t>
  </si>
  <si>
    <t>MEMORANDUM OF UNDERSTANDING Between Incentive House of Egypt &amp; Direct Egypt October 17-20 ‘2024 / 4 days – 3 nights Movenpick Hotel</t>
  </si>
  <si>
    <t>6RAQJZCZX2GB1GKQ4MWVD9BJ10</t>
  </si>
  <si>
    <t xml:space="preserve">Cisco Banking Event  Four Seasons Nile Plaza - Cairo </t>
  </si>
  <si>
    <t>EGY000EP575870L</t>
  </si>
  <si>
    <t>K7QEX2Q377DRVN3P4QJZG6EJ10</t>
  </si>
  <si>
    <t>Cancelled</t>
  </si>
  <si>
    <t>Redifine ERP</t>
  </si>
  <si>
    <t>Booth Production  @ Rixos Seagate Sharm EL Sheikh</t>
  </si>
  <si>
    <t>81/2024</t>
  </si>
  <si>
    <t>AB43T7DTF3EZ7YMESY4YWJCJ10</t>
  </si>
  <si>
    <t>Webexone Cisco Event</t>
  </si>
  <si>
    <t>CISCO</t>
  </si>
  <si>
    <t>C0160</t>
  </si>
  <si>
    <t>Point Hotel Taksim Istanbul Turkey</t>
  </si>
  <si>
    <t>VAS &amp; IT VALLY</t>
  </si>
  <si>
    <t>Office Catering November  MS Office - Smart Village</t>
  </si>
  <si>
    <t xml:space="preserve"> 101187220</t>
  </si>
  <si>
    <t>EF9GSVVD0BYBS8W25ADQY4DJ10</t>
  </si>
  <si>
    <t>C0170</t>
  </si>
  <si>
    <t>MS Giveaways AUC</t>
  </si>
  <si>
    <t>information Technology of Egypt Corporation</t>
  </si>
  <si>
    <t>P.O.NO.:ITE/400/2024</t>
  </si>
  <si>
    <t>K5T9F1WXHZA5J6QHWDE3XPFJ10</t>
  </si>
  <si>
    <t>C0165</t>
  </si>
  <si>
    <t>2.7$ Bedouin Night</t>
  </si>
  <si>
    <t xml:space="preserve"> EAST WEST ADVE RTISING(L.L.C)</t>
  </si>
  <si>
    <t xml:space="preserve">Happy Days Co Monky Press Dinner for 25 people for Team outing event for SMC Cairo Hub team </t>
  </si>
  <si>
    <t>FQBWRHF4CM1QA811GKEXYSFJ10</t>
  </si>
  <si>
    <t>C0180</t>
  </si>
  <si>
    <t xml:space="preserve">TEAMSTOK FZCO MS AI Tour -Feb 2025 </t>
  </si>
  <si>
    <t>TEAMSTOK FZCO</t>
  </si>
  <si>
    <t>UAE MOU.2025 TEAMSTOCK INV UAE 25-000202.25.C0180.102</t>
  </si>
  <si>
    <t>INV UAE 25-0002</t>
  </si>
  <si>
    <t xml:space="preserve">North Africa Team Building Event Movenpick El Gouna Hotel 3 days / 2 nights  28 pax + 12 additional </t>
  </si>
  <si>
    <t>EGY000EP602889L</t>
  </si>
  <si>
    <t>TBD3K7CBNTN7B7PF4725K2PJ10</t>
  </si>
  <si>
    <t>Dinner for Egypt AI Tour. February 10th, 2025, for Microsoft LT Extended LT</t>
  </si>
  <si>
    <t>G7XB0886AG3C1RGVJSQB3FMJ10</t>
  </si>
  <si>
    <t xml:space="preserve">Microsoft - Education Sector - Sigining Cermony </t>
  </si>
  <si>
    <t xml:space="preserve"> 101266470</t>
  </si>
  <si>
    <t>03XXTNPM3AZQSP26ANZW5ZPJ10</t>
  </si>
  <si>
    <t xml:space="preserve">Microsoft FY25 Ramadan Annual Sohour Laylina restaurant </t>
  </si>
  <si>
    <t>4KED550STPYVAJPCG8407ZPJ10</t>
  </si>
  <si>
    <t xml:space="preserve">Q3_FY2025_Egypt Cisco Venue Four Seasons Nile Plaza </t>
  </si>
  <si>
    <t>EGY000EP618445L</t>
  </si>
  <si>
    <t>GTRY4AT1CB3KPA6NX2TYDZRJ10</t>
  </si>
  <si>
    <t>C0202</t>
  </si>
  <si>
    <t>2025 Kick Off Meeting  Noventiq @ Steigenberger Al Cazar</t>
  </si>
  <si>
    <t xml:space="preserve">Noventiq </t>
  </si>
  <si>
    <t xml:space="preserve">MOU .2025 Kick Off. May ‘2025 / 3days – 2 nights </t>
  </si>
  <si>
    <t>Microsoft 365 Copilot Prompt-a-Thon-Egypt Four Seasons Hotel Cairo at Nile Plaza</t>
  </si>
  <si>
    <t xml:space="preserve">101294665 </t>
  </si>
  <si>
    <t>6W99TJ471SAFWEHCAV28S7SJ10</t>
  </si>
  <si>
    <t xml:space="preserve"> CVP Country Visit Mr. Samer Abu Latif</t>
  </si>
  <si>
    <t>04.25.C0003.110</t>
  </si>
  <si>
    <t>9VH70K8M11HEZJ3PGD5899SJ10</t>
  </si>
  <si>
    <t xml:space="preserve">Microsoft Media Coverage Feb 11'2025 </t>
  </si>
  <si>
    <t>وليد طارق احمد موافي و شريكة</t>
  </si>
  <si>
    <t>INV UAE 25-0006</t>
  </si>
  <si>
    <t>PNR_ID</t>
  </si>
  <si>
    <t>9.22.C0002.1</t>
  </si>
  <si>
    <t>9.22.C0002.2</t>
  </si>
  <si>
    <t>1.23.C0006.3</t>
  </si>
  <si>
    <t>1.22.C0008.4</t>
  </si>
  <si>
    <t>1.22.C0001.5</t>
  </si>
  <si>
    <t>1.22.C0001.6</t>
  </si>
  <si>
    <t>2.22.C0001.7</t>
  </si>
  <si>
    <t>2.22.C0001.8</t>
  </si>
  <si>
    <t>2.22.C0001.9</t>
  </si>
  <si>
    <t>3.22.C0001.10</t>
  </si>
  <si>
    <t>3.22.C0001.11</t>
  </si>
  <si>
    <t>3.22.C0001.12</t>
  </si>
  <si>
    <t>3.22.C0001.13</t>
  </si>
  <si>
    <t>3.22.C0001.14</t>
  </si>
  <si>
    <t>3.22.C0001.15</t>
  </si>
  <si>
    <t>4.22.C0001.16</t>
  </si>
  <si>
    <t>4.22.C0001.17</t>
  </si>
  <si>
    <t>5.22.C0001.18</t>
  </si>
  <si>
    <t>5.22.C0001.19</t>
  </si>
  <si>
    <t>6.22.C0001.20</t>
  </si>
  <si>
    <t>6.22.C0001.21</t>
  </si>
  <si>
    <t>6.22.C0001.22</t>
  </si>
  <si>
    <t>6.22.C0001.23</t>
  </si>
  <si>
    <t>6.22.C0001.24</t>
  </si>
  <si>
    <t>6.22.C0001.25</t>
  </si>
  <si>
    <t>7.22.C0001.26</t>
  </si>
  <si>
    <t>8.22.C0001.27</t>
  </si>
  <si>
    <t>9.22.C0001.28</t>
  </si>
  <si>
    <t>9.22.C0001.29</t>
  </si>
  <si>
    <t>10.22.C0001.30</t>
  </si>
  <si>
    <t>10.22.C0001.31</t>
  </si>
  <si>
    <t>11.22.C0001.32</t>
  </si>
  <si>
    <t>11.22.C0001.33</t>
  </si>
  <si>
    <t>11.22.C0001.34</t>
  </si>
  <si>
    <t>11.22.C0001.35</t>
  </si>
  <si>
    <t>11.22.C0008.36</t>
  </si>
  <si>
    <t>3.23.C0007.37</t>
  </si>
  <si>
    <t>1.23.C0029.39</t>
  </si>
  <si>
    <t>4.22.C0010.40</t>
  </si>
  <si>
    <t>5.22.C0010.41</t>
  </si>
  <si>
    <t>3.22.C0003.42</t>
  </si>
  <si>
    <t>2.22.C0011.45</t>
  </si>
  <si>
    <t>3.22.C0011.46</t>
  </si>
  <si>
    <t>12.22.C0001.47</t>
  </si>
  <si>
    <t>12.22.C0015.48</t>
  </si>
  <si>
    <t>12.22.C0018.49</t>
  </si>
  <si>
    <t>12.22.C0017.50</t>
  </si>
  <si>
    <t>12.22.C0016.51</t>
  </si>
  <si>
    <t>12.22.C0019.52</t>
  </si>
  <si>
    <t>12.22.C0020.53</t>
  </si>
  <si>
    <t>12.22.C0021.54</t>
  </si>
  <si>
    <t>12.22.C0022.55</t>
  </si>
  <si>
    <t>12.22.C0023.56</t>
  </si>
  <si>
    <t>12.22.C0024.57</t>
  </si>
  <si>
    <t>12.22.C0025.58</t>
  </si>
  <si>
    <t>12.22.C0001.59</t>
  </si>
  <si>
    <t>12.22.C0026.60</t>
  </si>
  <si>
    <t>12.22.C0027.61</t>
  </si>
  <si>
    <t>12.22.C0028.62</t>
  </si>
  <si>
    <t>1.23.C0006.63</t>
  </si>
  <si>
    <t>2.23.C0001.64</t>
  </si>
  <si>
    <t>3.23.C0001.65</t>
  </si>
  <si>
    <t>3.23.C0001.66</t>
  </si>
  <si>
    <t>6.23.C0030.67</t>
  </si>
  <si>
    <t>6.23.C0003.68</t>
  </si>
  <si>
    <t>8.23.C0031.69</t>
  </si>
  <si>
    <t>10.23.C0031.71</t>
  </si>
  <si>
    <t>1.24.C0037.75</t>
  </si>
  <si>
    <t>1.24.C0003.76</t>
  </si>
  <si>
    <t>1.24.C0003.77</t>
  </si>
  <si>
    <t>1.24.C0003.78</t>
  </si>
  <si>
    <t>3.24.C0031.79</t>
  </si>
  <si>
    <t>3.24.C0003.80</t>
  </si>
  <si>
    <t>3.24.C0038.81</t>
  </si>
  <si>
    <t>4.24.C0001.82</t>
  </si>
  <si>
    <t>6.24.C0158.83</t>
  </si>
  <si>
    <t>6.24.C0003.84</t>
  </si>
  <si>
    <t>9.24.C0003.85</t>
  </si>
  <si>
    <t>10.24.C0003.86</t>
  </si>
  <si>
    <t>10.24.C0159.87</t>
  </si>
  <si>
    <t>10.24.C0006.88</t>
  </si>
  <si>
    <t>11.24.C0003.89</t>
  </si>
  <si>
    <t>11.24.C0031.90</t>
  </si>
  <si>
    <t>12.24.C0006.91</t>
  </si>
  <si>
    <t>12.24.C0160.92</t>
  </si>
  <si>
    <t>11.24.C0003.93</t>
  </si>
  <si>
    <t>11.24.C0170.94</t>
  </si>
  <si>
    <t>12.24.C0165.95</t>
  </si>
  <si>
    <t>12.24.C0003.96</t>
  </si>
  <si>
    <t>2.25.C0180.102</t>
  </si>
  <si>
    <t>2.25.C0006.103</t>
  </si>
  <si>
    <t>2.25.C0003.104</t>
  </si>
  <si>
    <t>3.25.C0003.105</t>
  </si>
  <si>
    <t>3.25.C0003.106</t>
  </si>
  <si>
    <t>4.25.C0006.107</t>
  </si>
  <si>
    <t>5.25.C0202.108</t>
  </si>
  <si>
    <t>4.25.C0003.109</t>
  </si>
  <si>
    <t>4.25.C0003.110</t>
  </si>
  <si>
    <t>2.25.C0180.111</t>
  </si>
  <si>
    <t>AP -Account Name</t>
  </si>
  <si>
    <t>Exp Account Name</t>
  </si>
  <si>
    <t>Beneficiary</t>
  </si>
  <si>
    <t>Address</t>
  </si>
  <si>
    <t xml:space="preserve">Contact Person </t>
  </si>
  <si>
    <t>Music Life - Kahlied Al sahfi (Harfosh)</t>
  </si>
  <si>
    <t xml:space="preserve">Operating Vendor </t>
  </si>
  <si>
    <t>V-0072</t>
  </si>
  <si>
    <t>Graphic Box</t>
  </si>
  <si>
    <t>S&amp;A Advertising</t>
  </si>
  <si>
    <t>V-0088</t>
  </si>
  <si>
    <t>CAIRO  Trade</t>
  </si>
  <si>
    <t>V-0057</t>
  </si>
  <si>
    <t>Production House</t>
  </si>
  <si>
    <t>V-0027</t>
  </si>
  <si>
    <t xml:space="preserve">Comtech Egypt Audio Visual Event Management </t>
  </si>
  <si>
    <t>Happy Days Co Monky Press</t>
  </si>
  <si>
    <t>V-0063</t>
  </si>
  <si>
    <t xml:space="preserve">Megumi Restaurant </t>
  </si>
  <si>
    <t>V-0087</t>
  </si>
  <si>
    <t>Zo Technology  IT</t>
  </si>
  <si>
    <t>V-0020</t>
  </si>
  <si>
    <t>X-NATION High Technology &amp; Events</t>
  </si>
  <si>
    <t>V-0025</t>
  </si>
  <si>
    <t>[224B, El Kawthar District - HRG] [Builiding H7, Downtown El Gouna]</t>
  </si>
  <si>
    <t>[0122 213 2929]</t>
  </si>
  <si>
    <t xml:space="preserve">Alternative </t>
  </si>
  <si>
    <t xml:space="preserve">Ahmed Mahmoud Aly Mohamed Barakat Photo grapher </t>
  </si>
  <si>
    <t>V-0080</t>
  </si>
  <si>
    <t>E Studio</t>
  </si>
  <si>
    <t>ZEEYARA</t>
  </si>
  <si>
    <t>V-0075</t>
  </si>
  <si>
    <t>V-0094</t>
  </si>
  <si>
    <t>Ariz</t>
  </si>
  <si>
    <t>CARNIVAL SAMEH Egyptian Art for Show</t>
  </si>
  <si>
    <t xml:space="preserve">NEXT AD-advertising and communications </t>
  </si>
  <si>
    <t>V-0039</t>
  </si>
  <si>
    <t>CRYSTAL ASFOUR</t>
  </si>
  <si>
    <t>V-0060</t>
  </si>
  <si>
    <t>PENTA VALUE</t>
  </si>
  <si>
    <t>V-0082</t>
  </si>
  <si>
    <t xml:space="preserve">Kempinski Nile Hotel Cairo </t>
  </si>
  <si>
    <t>Hedeya Giveawys</t>
  </si>
  <si>
    <t>BAYT WARD</t>
  </si>
  <si>
    <t xml:space="preserve">Mahmoud ZAKARIA Giveawys </t>
  </si>
  <si>
    <t xml:space="preserve">Event Full </t>
  </si>
  <si>
    <t>MOHEB MAKRAM TRADING</t>
  </si>
  <si>
    <t xml:space="preserve">EVINTI </t>
  </si>
  <si>
    <t>V-0091</t>
  </si>
  <si>
    <t>B. Brand</t>
  </si>
  <si>
    <t>DEAL COMPAMY</t>
  </si>
  <si>
    <t>V-0061</t>
  </si>
  <si>
    <t>Momento Iman Thaha Naouf</t>
  </si>
  <si>
    <t>Urgent Office Supplies</t>
  </si>
  <si>
    <t>Service Provider</t>
  </si>
  <si>
    <t xml:space="preserve">Ducks- EGYPTIAN SAUDI FOR TRADING AN D FOOD </t>
  </si>
  <si>
    <t>V-0069</t>
  </si>
  <si>
    <t>IKA</t>
  </si>
  <si>
    <t xml:space="preserve">FARAH NILE CRUISE </t>
  </si>
  <si>
    <t>Golden Nile Travel Service</t>
  </si>
  <si>
    <t>Egypt Air</t>
  </si>
  <si>
    <t>Dusit Thani LakeView Cairo</t>
  </si>
  <si>
    <t>V-0049</t>
  </si>
  <si>
    <t>Movenpick Resort Soma Bay</t>
  </si>
  <si>
    <t>ASHRAF AHMED EBRAHIM</t>
  </si>
  <si>
    <t>Egypt trust - Branch</t>
  </si>
  <si>
    <t>V-0092</t>
  </si>
  <si>
    <t xml:space="preserve">Aspire for Traning </t>
  </si>
  <si>
    <t>Abu Trika</t>
  </si>
  <si>
    <t xml:space="preserve">Khalied Said Charter Accountant </t>
  </si>
  <si>
    <t>TEZ TOUR</t>
  </si>
  <si>
    <t>Intercontinental City stars</t>
  </si>
  <si>
    <t>V-0053</t>
  </si>
  <si>
    <t>Steigenberger Alcazar</t>
  </si>
  <si>
    <t>STEIGENBERGER Nile Palace Luxor</t>
  </si>
  <si>
    <t>PARK REGENCY RESORT</t>
  </si>
  <si>
    <t>Movenpick Resort &amp; Spa El Gouna</t>
  </si>
  <si>
    <t>Four Seasons Hotel Cairo at Nile Plaza</t>
  </si>
  <si>
    <t>V-0002</t>
  </si>
  <si>
    <t xml:space="preserve">NORTH AFRICA FOR SHIPMENT AND NASCO TOURS </t>
  </si>
  <si>
    <t>V-0098</t>
  </si>
  <si>
    <t>ABU GHALI TUR</t>
  </si>
  <si>
    <r>
      <t xml:space="preserve">PATCHI </t>
    </r>
    <r>
      <rPr>
        <b/>
        <sz val="11"/>
        <color theme="1"/>
        <rFont val="Calibri"/>
        <family val="2"/>
        <scheme val="minor"/>
      </rPr>
      <t xml:space="preserve">Concept for chocolate &amp; Gifts </t>
    </r>
  </si>
  <si>
    <t>SEDRA</t>
  </si>
  <si>
    <t>JW Marriott Hotel Cairo</t>
  </si>
  <si>
    <t>GERMAN AUTO SERVICES</t>
  </si>
  <si>
    <t>Rixos Premium Seagate</t>
  </si>
  <si>
    <t>+20 69 3710130</t>
  </si>
  <si>
    <t xml:space="preserve">GIG AUTO Insurnace </t>
  </si>
  <si>
    <t>EL KABABGY Sofitel</t>
  </si>
  <si>
    <t>CAIRO  MARRIOTT HOTEL</t>
  </si>
  <si>
    <t>Crave</t>
  </si>
  <si>
    <t xml:space="preserve">رفعت فتحى رمضان مرسى </t>
  </si>
  <si>
    <t xml:space="preserve">Youssef Ishaq External Audit </t>
  </si>
  <si>
    <t>Yousef Ishaq</t>
  </si>
  <si>
    <t xml:space="preserve">YES SPACE </t>
  </si>
  <si>
    <t xml:space="preserve">Heba Solyman </t>
  </si>
  <si>
    <t>WE &amp; Orange Telecommunications</t>
  </si>
  <si>
    <t>USHERS ACF</t>
  </si>
  <si>
    <t>Unknwon</t>
  </si>
  <si>
    <t>Unanmed Prinitng &amp; Stationary Suppler</t>
  </si>
  <si>
    <t>SUN &amp; FUN</t>
  </si>
  <si>
    <t>Sofitel Legend Old Cataract Aswan</t>
  </si>
  <si>
    <t xml:space="preserve">SEMIRAMIS INTERCONTINENTAL </t>
  </si>
  <si>
    <t>SAMEH Khalil Thabet Khalil</t>
  </si>
  <si>
    <t>SALMA ABDULLAH</t>
  </si>
  <si>
    <t>Royal Pyramids Diving Center</t>
  </si>
  <si>
    <t>Royal Maxim Palace Kempinski</t>
  </si>
  <si>
    <t xml:space="preserve">Ahmed Helmy </t>
  </si>
  <si>
    <t xml:space="preserve">Director of Sales </t>
  </si>
  <si>
    <t>01119999949</t>
  </si>
  <si>
    <t xml:space="preserve">Raed shekh </t>
  </si>
  <si>
    <t xml:space="preserve">Phd. Najeeb Osman Ayoup </t>
  </si>
  <si>
    <t>Orange Telecom</t>
  </si>
  <si>
    <t xml:space="preserve">Omina IT </t>
  </si>
  <si>
    <t>Omina IT</t>
  </si>
  <si>
    <t xml:space="preserve">Vodaphone Cash Paymnet </t>
  </si>
  <si>
    <t>+20 101 008 7418</t>
  </si>
  <si>
    <t>North Cairo Electricity distribution</t>
  </si>
  <si>
    <t xml:space="preserve">Nile Air </t>
  </si>
  <si>
    <t>M2 DEVELOPMENTS</t>
  </si>
  <si>
    <t>V-0043</t>
  </si>
  <si>
    <t>KANJA</t>
  </si>
  <si>
    <t>JW MARRIOTT HOTEL</t>
  </si>
  <si>
    <t>Jonathan Cohen -Azimuth Marketing Communications</t>
  </si>
  <si>
    <t xml:space="preserve">Jack Zakaria - DJ </t>
  </si>
  <si>
    <t>INTER CO MPANY FOR HOTEL   TOURIS</t>
  </si>
  <si>
    <t>Hilton Cairo Heliopolis</t>
  </si>
  <si>
    <t xml:space="preserve">Hossam Shehata </t>
  </si>
  <si>
    <t>01222270655</t>
  </si>
  <si>
    <t>URUBA STREET,HELIOPOLIS, CARIO EGYPT</t>
  </si>
  <si>
    <t>02-2677730-40</t>
  </si>
  <si>
    <t xml:space="preserve">Hani Arian -Chartered accountant </t>
  </si>
  <si>
    <t>Grocery &amp; Catering Supermarkets</t>
  </si>
  <si>
    <t xml:space="preserve">Grand Nile Tower </t>
  </si>
  <si>
    <t>Amira Salim</t>
  </si>
  <si>
    <t xml:space="preserve">GODADDY </t>
  </si>
  <si>
    <t>Fairmont Nile City</t>
  </si>
  <si>
    <t xml:space="preserve">Escapade Terval </t>
  </si>
  <si>
    <t>ENBD-EGP</t>
  </si>
  <si>
    <t xml:space="preserve">CASH Petty Cash on transit </t>
  </si>
  <si>
    <t xml:space="preserve">CAIRO MARRIOTT HOTEL </t>
  </si>
  <si>
    <t xml:space="preserve">Engy Rashed </t>
  </si>
  <si>
    <t>01200100014</t>
  </si>
  <si>
    <t xml:space="preserve">Blue Point </t>
  </si>
  <si>
    <t>Ahmed Rayess</t>
  </si>
  <si>
    <t>+20 101 797 3354</t>
  </si>
  <si>
    <t>B2B office Spaces</t>
  </si>
  <si>
    <t>AMIR SAMI EL GHAZOLY</t>
  </si>
  <si>
    <t xml:space="preserve">AIR CAIRO </t>
  </si>
  <si>
    <t xml:space="preserve">Wael Ragaay </t>
  </si>
  <si>
    <t>01000480780</t>
  </si>
  <si>
    <t>ELEGANT EDUCATION HOME LYCEE</t>
  </si>
  <si>
    <t>Owner Current Account</t>
  </si>
  <si>
    <t>SHERINE ERNEST TAKLA GHOBRANY</t>
  </si>
  <si>
    <t>AMIR EZZAT NESSIM AMIR NESSIM</t>
  </si>
  <si>
    <t>MAGED SAMI SAWIRES- General Manager</t>
  </si>
  <si>
    <t xml:space="preserve">CIB VIA CARD MR. Maged </t>
  </si>
  <si>
    <t>NBE Mr. Maged Personal Account</t>
  </si>
  <si>
    <t>Stf-0005</t>
  </si>
  <si>
    <t>Eng. Khalied Tawheid</t>
  </si>
  <si>
    <t xml:space="preserve">Staff Payables </t>
  </si>
  <si>
    <t xml:space="preserve">Indirect Salary </t>
  </si>
  <si>
    <t>Stf-0003</t>
  </si>
  <si>
    <t>RANIA ADNAN AYESH SABAWI - Marketing Manager</t>
  </si>
  <si>
    <t>Stf-0001</t>
  </si>
  <si>
    <t>REHAM HISHAM RAMADAN HASSAN - Operation Manger</t>
  </si>
  <si>
    <t>Stf-0002</t>
  </si>
  <si>
    <t>EMAD HAMZA AHMED</t>
  </si>
  <si>
    <t>Stf-0004</t>
  </si>
  <si>
    <t xml:space="preserve">Ahmed Salah Gawish - Finance Controllar </t>
  </si>
  <si>
    <t xml:space="preserve">Own_ Code </t>
  </si>
  <si>
    <t>Own_Subled_Name</t>
  </si>
  <si>
    <t>Ven_Subled_Name</t>
  </si>
  <si>
    <t>Stff_Subled_Name</t>
  </si>
  <si>
    <t xml:space="preserve">Client Address </t>
  </si>
  <si>
    <t xml:space="preserve">Telephone Number  </t>
  </si>
  <si>
    <t>Email Address</t>
  </si>
  <si>
    <t>KTC Building, plot 76,First Sector, City Center, Fifth Settlement, New Cairo, Cairo, Egypt.</t>
  </si>
  <si>
    <t>ehab.abdelaziz@abbott.com www.abbott.com</t>
  </si>
  <si>
    <t>   Ehab Abdelaziz       Senior Accountant</t>
  </si>
  <si>
    <t xml:space="preserve">Abbott Laboratories </t>
  </si>
  <si>
    <t xml:space="preserve">v-lelhadidy@microsoft.com </t>
  </si>
  <si>
    <t>Lina El-Hadidy Marketing Coordinator – Integrated Marketing
MEA Marketing Service Desk</t>
  </si>
  <si>
    <t>City Stars Project - Tower 2 A Omar Ibn El Khattab St. - Nasr City Cairo 11771 Egypt</t>
  </si>
  <si>
    <t>+20-1223120009</t>
  </si>
  <si>
    <t xml:space="preserve">
 Accounts Payable
</t>
  </si>
  <si>
    <t xml:space="preserve">kahedaya@cisco.com   </t>
  </si>
  <si>
    <t>Ehab13@msn.com</t>
  </si>
  <si>
    <t>1B The Beacon, Beaufront Park, Anick Road, Hexham, Northumberland, NE46 4TU, UK. </t>
  </si>
  <si>
    <t xml:space="preserve">+44 (0) 1932 508 807 </t>
  </si>
  <si>
    <t xml:space="preserve">Weronika Komorowska-Conference Manager </t>
  </si>
  <si>
    <t xml:space="preserve">weronika@recon-intl.com </t>
  </si>
  <si>
    <t>62 South Taseen Stret Fifth Settlement, New Cairo, Cairo, Egypt.</t>
  </si>
  <si>
    <t>Cairo, Sheraton Building , Heliopolis</t>
  </si>
  <si>
    <t xml:space="preserve"> رفعت فتحى رمضان مرسى</t>
  </si>
  <si>
    <t xml:space="preserve">Mr. Maged Sami </t>
  </si>
  <si>
    <t xml:space="preserve">
Hlavní 130
250 68 Husinec-Řež 
Czech Republic</t>
  </si>
  <si>
    <t>Romana Čermáková
Back Office Manager  katerina.cerna@iqstructures.cz; ‎</t>
  </si>
  <si>
    <t>Giesecke+Devrient Currency Technology GmbH
Prinzregentenstr. 161, 81677 Munich, Germany     www.gi-de.com/ct</t>
  </si>
  <si>
    <t>M +49-173 5430534</t>
  </si>
  <si>
    <t>Michaela Reichert
Head of Conferences and Events</t>
  </si>
  <si>
    <t>michaela.reichert@gi-de.com</t>
  </si>
  <si>
    <t>Langston Road, Loughton, Essex, IG10 3PB, United Kingdom </t>
  </si>
  <si>
    <t>Maria Atkinson         Government Relations Manager</t>
  </si>
  <si>
    <t xml:space="preserve">maria.atkinson@uk.delarue.com </t>
  </si>
  <si>
    <t xml:space="preserve">Kantonsstrasse 16 | 7302 Landquart | Switzerland </t>
  </si>
  <si>
    <t xml:space="preserve">+41 81 307 92 49 | Fax: +41 81 307 91 43 </t>
  </si>
  <si>
    <t>60 Highfield Park Dr, Suite 102
Dartmouth, NS
Canada B3A 4R9</t>
  </si>
  <si>
    <t>1-604-765-0593</t>
  </si>
  <si>
    <t>Erin Jones                   Global Events Manager</t>
  </si>
  <si>
    <t>erin.jones@metamaterial.com</t>
  </si>
  <si>
    <t>The Fairway, Harlow, Essex, CM18 6NG, UK
www.luminescence-scs.com</t>
  </si>
  <si>
    <t xml:space="preserve">T: +44 (0)1279 456400 </t>
  </si>
  <si>
    <t xml:space="preserve"> Gerben van Wijk
Sales and Marketing Director    M: +44 (0)7506 118412 </t>
  </si>
  <si>
    <t>gerben.vanwijk@luminescence-scs.com</t>
  </si>
  <si>
    <t>Company (client): Jura JSP GmbH
Address: A-1190 Vienna, Gebhardtgasse 13., Austria 
VAT number: ATU39169109</t>
  </si>
  <si>
    <t>+36 1 275 1250</t>
  </si>
  <si>
    <t xml:space="preserve">Éva Móritz                                                eva.moritz@jura.hu </t>
  </si>
  <si>
    <t xml:space="preserve">eva.moritz@jura.hu </t>
  </si>
  <si>
    <t>Avenue du Grey 55, CH-1018 Lausanne
PO Box 347, CH-1000 Lausanne 22
Switzerland</t>
  </si>
  <si>
    <t>+41 21 345 71 33</t>
  </si>
  <si>
    <t xml:space="preserve">i.A. Vanessa Lauzier
Marketing Communications    vanessa.lauzier@koenig-bauer.com  </t>
  </si>
  <si>
    <t>banknote-solutions.koenig-bauer.com</t>
  </si>
  <si>
    <t>Dietzingerstrasse 3                                         8036 Zurich, Switzerland</t>
  </si>
  <si>
    <t>+41444667422</t>
  </si>
  <si>
    <t>Meri Torniainen
Director Marketing and Communication</t>
  </si>
  <si>
    <t>meri.torniainen@orellfuessli.com</t>
  </si>
  <si>
    <t> www.oberthur-fiduciaire.com</t>
  </si>
  <si>
    <t xml:space="preserve"> +33 1 42 99 77 25 </t>
  </si>
  <si>
    <t>Charlotte Lafont 
Group Communications Manager</t>
  </si>
  <si>
    <t>c.lafont@fcof.com </t>
  </si>
  <si>
    <t xml:space="preserve">30 Main Street 
Dalton, Massachusetts 
USA </t>
  </si>
  <si>
    <t xml:space="preserve">Tod L Niedeck 
Marketing Director </t>
  </si>
  <si>
    <t>tod.niedeck@cranecurrency.com</t>
  </si>
  <si>
    <t>RUE DE FRERES BEAUMONT
59128 FLERS EN ESCREBIEUX
France</t>
  </si>
  <si>
    <t xml:space="preserve"> +33(0)1 64 76 31 00 </t>
  </si>
  <si>
    <t>Mehdi Benmebarek
Secure Components BU Communications Manager</t>
  </si>
  <si>
    <t>mehdi.benmebarek@ingroupe.com</t>
  </si>
  <si>
    <t>Schwabacher Str. 482 
90763 Fürth  www.kurz.de</t>
  </si>
  <si>
    <t>+49 911 7141 9653</t>
  </si>
  <si>
    <t xml:space="preserve">Michelle Carter 
Assistant &amp; Project Coordinator 
Business Area Security - Banknotes </t>
  </si>
  <si>
    <t xml:space="preserve">michelle.carter@kurz.de </t>
  </si>
  <si>
    <t>214 pyramids Road , Giza 12556</t>
  </si>
  <si>
    <t>20235990622</t>
  </si>
  <si>
    <t>Eng. Mostafa Tobbala                 General Manager                     Procurement &amp; Logistic Dept.</t>
  </si>
  <si>
    <t>mostafa.tobbala@cbe.org.eg</t>
  </si>
  <si>
    <t>Cairo, Smart Village, Building 19B www.klayytech.com</t>
  </si>
  <si>
    <t>Mobile: +2 01223651081</t>
  </si>
  <si>
    <t>Mr.Sayed Mohamed ,MBA | Accounting Manager.</t>
  </si>
  <si>
    <t>Smart Village, Building B 115, 2nd floor,KM 28 Cairo-Alex Desert Road, 12585</t>
  </si>
  <si>
    <t>islam_elgamal@efinance.com.eg</t>
  </si>
  <si>
    <t>C0009</t>
  </si>
  <si>
    <t>C0012</t>
  </si>
  <si>
    <t>C0013</t>
  </si>
  <si>
    <t>C0014</t>
  </si>
  <si>
    <t>Noventiq Egypt S.A.E for Information Technology</t>
  </si>
  <si>
    <t>Sup_Tax_Id</t>
  </si>
  <si>
    <r>
      <t>LEONHARD KURZ Stiftung &amp; Co. KG</t>
    </r>
    <r>
      <rPr>
        <sz val="12"/>
        <rFont val="Times New Roman"/>
        <family val="1"/>
      </rPr>
      <t xml:space="preserve"> </t>
    </r>
  </si>
  <si>
    <r>
      <t>+44</t>
    </r>
    <r>
      <rPr>
        <sz val="8"/>
        <rFont val="Arial Rounded MT Bold"/>
        <family val="2"/>
      </rPr>
      <t xml:space="preserve"> (0)20 8502 8019 or 8020 | fax: +44 (0)20 8502 1007  </t>
    </r>
  </si>
  <si>
    <t>Clnt_Subled_Name</t>
  </si>
  <si>
    <t>Clnt_Tax_Id</t>
  </si>
  <si>
    <t xml:space="preserve">BTECH MAX </t>
  </si>
  <si>
    <t>CHILLOUT</t>
  </si>
  <si>
    <t xml:space="preserve">PIERCLUB GOUNA </t>
  </si>
  <si>
    <t>PIER  CLUB GOUNA HUR</t>
  </si>
  <si>
    <t>PAPA JOHNS</t>
  </si>
  <si>
    <t>LE PACHACAIRO W</t>
  </si>
  <si>
    <t>LE PACHA</t>
  </si>
  <si>
    <t>LE CHANTILY CAI</t>
  </si>
  <si>
    <t>LACOUPE CAIRO N</t>
  </si>
  <si>
    <t xml:space="preserve">LACOUPE </t>
  </si>
  <si>
    <t>La Coupe LL CAI</t>
  </si>
  <si>
    <t>KUFTA REST CA</t>
  </si>
  <si>
    <t>GOURMET FOOD ST</t>
  </si>
  <si>
    <t>GEIDEA PREST CA</t>
  </si>
  <si>
    <t>GEIDEA PAPA JOH</t>
  </si>
  <si>
    <t>GEIDEA P  REST CAIRO</t>
  </si>
  <si>
    <t>GEIDEA KUFTA RE</t>
  </si>
  <si>
    <t>FIVE BELLS CAIRO</t>
  </si>
  <si>
    <t>FIVE BELLS CAIR</t>
  </si>
  <si>
    <t xml:space="preserve">EL DAHAN CAIRO </t>
  </si>
  <si>
    <t>EGY SPAS HURGHA</t>
  </si>
  <si>
    <t xml:space="preserve">ANDREA CAIRO N </t>
  </si>
  <si>
    <t xml:space="preserve">ANDREA CAIRO </t>
  </si>
  <si>
    <t>ANDIAMO CAIRO E</t>
  </si>
  <si>
    <t xml:space="preserve">JACK ZAKARIA </t>
  </si>
  <si>
    <t xml:space="preserve">MISR PETROLEUM </t>
  </si>
  <si>
    <t>MOBIL</t>
  </si>
  <si>
    <t>WATANIYA</t>
  </si>
  <si>
    <t>ANDIAMO CAIRO</t>
  </si>
  <si>
    <t>V-0459</t>
  </si>
  <si>
    <t>مصروفات أدارية وعمومية - مصروفات واجبات وأجتماعات خارجية</t>
  </si>
  <si>
    <t>Admin &amp; Gen Expen _Staff Food &amp; Eternal Meeting</t>
  </si>
  <si>
    <t>POS Payent</t>
  </si>
  <si>
    <t>Zo Clinicst CAI</t>
  </si>
  <si>
    <t xml:space="preserve">Zo Clinic  </t>
  </si>
  <si>
    <t xml:space="preserve">UROPIAN CO FOR TOUR </t>
  </si>
  <si>
    <t xml:space="preserve">UROPIAN CO FOR </t>
  </si>
  <si>
    <t>U BISTRO REST C</t>
  </si>
  <si>
    <t xml:space="preserve">U Bistro CAIRO </t>
  </si>
  <si>
    <t xml:space="preserve">U Bistro </t>
  </si>
  <si>
    <t>SPAS HURGHADA</t>
  </si>
  <si>
    <t>SOTTO SOPRO PIZZERIA</t>
  </si>
  <si>
    <t>SOTTO SOPRO PIZ</t>
  </si>
  <si>
    <t>SACHI H CAIRO E</t>
  </si>
  <si>
    <t>SACHI H CAIRO</t>
  </si>
  <si>
    <t xml:space="preserve">RIVER SIDE CAIRO </t>
  </si>
  <si>
    <t>RIVER SIDE CAIR</t>
  </si>
  <si>
    <t>President CAIRO EGY/</t>
  </si>
  <si>
    <t>President CAIRO</t>
  </si>
  <si>
    <t>PF*CNT clothes Ca CA</t>
  </si>
  <si>
    <t>PF La Coupe LL CAIRO</t>
  </si>
  <si>
    <t>OSCAR MASR EL G</t>
  </si>
  <si>
    <t>Oscar Cairo EGY</t>
  </si>
  <si>
    <t>Oscar Cairo</t>
  </si>
  <si>
    <t>OSCAR</t>
  </si>
  <si>
    <t>KAZOKU CAIRO EG</t>
  </si>
  <si>
    <t>KAZOKU</t>
  </si>
  <si>
    <t xml:space="preserve">KASHIER CRAMISON </t>
  </si>
  <si>
    <t>KASHIER CRAMISO</t>
  </si>
  <si>
    <t xml:space="preserve">HORSE CAIRO EGY//   </t>
  </si>
  <si>
    <t>HORSE CAIRO EGY</t>
  </si>
  <si>
    <t>FAWRY GAS CAIRO</t>
  </si>
  <si>
    <t>ELSAWAF PHARMACY</t>
  </si>
  <si>
    <t>ELSAWAF PHARMAC</t>
  </si>
  <si>
    <t>EL SAWAF PHARMA</t>
  </si>
  <si>
    <t>Drinkies New Ca</t>
  </si>
  <si>
    <t xml:space="preserve">DRINKIES Boles </t>
  </si>
  <si>
    <t>Drinkies</t>
  </si>
  <si>
    <t>Dreams Market K</t>
  </si>
  <si>
    <t xml:space="preserve">Dreams Market </t>
  </si>
  <si>
    <t xml:space="preserve">DR OMAR CLINIC </t>
  </si>
  <si>
    <t>DR OMAR</t>
  </si>
  <si>
    <t>CONCRETENEW CAI</t>
  </si>
  <si>
    <t>CONCRETE</t>
  </si>
  <si>
    <t>CHRISTO CAIRO E</t>
  </si>
  <si>
    <t>CHRISTO C</t>
  </si>
  <si>
    <t>CHEERS TH OCT A</t>
  </si>
  <si>
    <t xml:space="preserve">CHEERS CAIRO N </t>
  </si>
  <si>
    <t>CHEERS</t>
  </si>
  <si>
    <t>CHANTEE RESTAUR</t>
  </si>
  <si>
    <t>CHANTEE</t>
  </si>
  <si>
    <t>BEST WAY SUPERM</t>
  </si>
  <si>
    <t xml:space="preserve">BEST WAY </t>
  </si>
  <si>
    <t>*CNT clothes Ca</t>
  </si>
  <si>
    <t xml:space="preserve"> GAS CAIRO E EG</t>
  </si>
  <si>
    <t>Assigned to supplier</t>
  </si>
  <si>
    <t>Units</t>
  </si>
  <si>
    <t>no of 
nightsn</t>
  </si>
  <si>
    <t xml:space="preserve">Cost </t>
  </si>
  <si>
    <t xml:space="preserve">Gross Budget Sales VAT Included </t>
  </si>
  <si>
    <t>Currency</t>
  </si>
  <si>
    <t>Conversion</t>
  </si>
  <si>
    <t>02.25.C0180.102</t>
  </si>
  <si>
    <t>USD</t>
  </si>
  <si>
    <t>Packaged</t>
  </si>
  <si>
    <t>Graphic BOX</t>
  </si>
  <si>
    <t>Incentive House Of egypt</t>
  </si>
  <si>
    <t>02.25.C0006.103</t>
  </si>
  <si>
    <t>Local Arrangement</t>
  </si>
  <si>
    <t>EGP</t>
  </si>
  <si>
    <t>02.25.C0003.104</t>
  </si>
  <si>
    <t>03.25.C0003.105</t>
  </si>
  <si>
    <t>Provided by hotel</t>
  </si>
  <si>
    <t>Crystal Asfour</t>
  </si>
  <si>
    <t>NR</t>
  </si>
  <si>
    <t>03.25.C0003.106</t>
  </si>
  <si>
    <t>04.25.C0006.107</t>
  </si>
  <si>
    <t>05.25.C0202.108</t>
  </si>
  <si>
    <t>LOPO BEANCO BAG Trades ARROW (Ahmed Khairi)</t>
  </si>
  <si>
    <t>04.25.C0003.109</t>
  </si>
  <si>
    <t>Clnt_ID</t>
  </si>
  <si>
    <t>Ven_ID</t>
  </si>
  <si>
    <t>التوجية المحاسبي</t>
  </si>
  <si>
    <t>رقم الأقرار الضريبي أ-خالد</t>
  </si>
  <si>
    <t>رقم الأقرار الضريبي2</t>
  </si>
  <si>
    <t>مركز التكلفة</t>
  </si>
  <si>
    <t>SDZ0ZHZTS1VXMM339JQA0SMJ10</t>
  </si>
  <si>
    <t>فبراير @ 2025</t>
  </si>
  <si>
    <t>N/A Admin Expn</t>
  </si>
  <si>
    <t>YZ7GPYVRV8PX7SFXYF7PH2HJ10</t>
  </si>
  <si>
    <t xml:space="preserve">يناير @ 2025 </t>
  </si>
  <si>
    <t>NAJ56X1HC6SVNH2XBAZVTWSH10</t>
  </si>
  <si>
    <t>أقرار ديسمبر 2024 معدل</t>
  </si>
  <si>
    <t>مارس @2024</t>
  </si>
  <si>
    <t>2C3ABMN90AE7DFS43NXM7XMH10</t>
  </si>
  <si>
    <t xml:space="preserve">يناير @2024 </t>
  </si>
  <si>
    <t>H0JMTJHCE1BA9ZYQ2SG0T0DH10</t>
  </si>
  <si>
    <t>ما قبل نوفمبر 2023</t>
  </si>
  <si>
    <t>1BDH75FHEW8ZVK6X8FWD7Q9H10</t>
  </si>
  <si>
    <t>Canclled</t>
  </si>
  <si>
    <t>QMCWBN47J96H5RHVTN3T2A7H10</t>
  </si>
  <si>
    <t>FQA0MHEBN7D04TVAHJYSSDGJ10</t>
  </si>
  <si>
    <t>ديسمبر@2024</t>
  </si>
  <si>
    <t>5B79ZP6YT7R23SZADNH30FMJ10</t>
  </si>
  <si>
    <t>88JM7S798CBF492CRMRXN2HJ10</t>
  </si>
  <si>
    <t>639AD2SGGXT45RKVSYKSNJQH10</t>
  </si>
  <si>
    <t>فبراير@2024</t>
  </si>
  <si>
    <t>DXVSY89E1SDS5ANC7F00NRFH10</t>
  </si>
  <si>
    <t>نوفمبر@2023</t>
  </si>
  <si>
    <t>GYKS0NYHP371BTQ14PJ15PFH10</t>
  </si>
  <si>
    <t>PQ2P9BN77BTXAT4EVS2Q34FH10</t>
  </si>
  <si>
    <t>YRYPA86WQ69TN49TJPK64D7H10</t>
  </si>
  <si>
    <t>DT234J4BG2X18213N52MYSRG10</t>
  </si>
  <si>
    <t>WY01X5TG9P6NAY5NZ02680QG10</t>
  </si>
  <si>
    <t>AGQYV84BWCC43786BEP9T7YH10</t>
  </si>
  <si>
    <t>مايو@2024</t>
  </si>
  <si>
    <t>M2YQAY2NVS9P7FYBXEM9T7YH10</t>
  </si>
  <si>
    <t>VAABHQWEE2ZVT54P9GJ9T7YH10</t>
  </si>
  <si>
    <t>AR0H188PBBVZJ5WE0C4G5GQH10</t>
  </si>
  <si>
    <t>0RR9FMS6B061CAWBQW3V79EJ10</t>
  </si>
  <si>
    <t>9CD3A38JAEBN55ACZ3CSHH8J10</t>
  </si>
  <si>
    <t>سبتمبر@2024</t>
  </si>
  <si>
    <t>3XMQYR30BG7VXAJVZX8QHH8J10</t>
  </si>
  <si>
    <t>YQFT23VQ0VV3BA8B4Q060KVG10</t>
  </si>
  <si>
    <t>SPXW20HFX50D934FQ952WHDJ10</t>
  </si>
  <si>
    <t>نوفمبر@2024</t>
  </si>
  <si>
    <t>H5P9SGEEY5KCD6Q89VVB68AJ10</t>
  </si>
  <si>
    <t>أكتوبر@2024</t>
  </si>
  <si>
    <t>9SHDMQPQ59VXCX6YDEDYTWYH10</t>
  </si>
  <si>
    <t>4Z0WMS5Y604JTT73MBXRH87H10</t>
  </si>
  <si>
    <t>H2FH7E12R86MXDGHSH5VBZCJ10</t>
  </si>
  <si>
    <t>9WN1HFW3XFB6C85C9QR7H2SG10</t>
  </si>
  <si>
    <t>4WDFDP4Y11DTSKCP3JBZN1NJ10</t>
  </si>
  <si>
    <t>Q7WF0W13K0XYN3G98A2RF8CJ10</t>
  </si>
  <si>
    <t>390AM81A1GQQ7EC2MB8JNW8J10</t>
  </si>
  <si>
    <t>02YZX5QDS0H7M5TE21BWE0RG10</t>
  </si>
  <si>
    <t>ANA6EB67HX1B1FS43R9Y6WMJ10</t>
  </si>
  <si>
    <t>XYKYGM78NZZ1Q24KVGMZ25DJ10</t>
  </si>
  <si>
    <t>4V4RC9SDP3N9RENZ0TY2ACBJ10</t>
  </si>
  <si>
    <t>FV31XNMRXHM4RSH0B7R4GA8J10</t>
  </si>
  <si>
    <t>Mr.Maged Personal</t>
  </si>
  <si>
    <t>4HHCSR9PTQV3DGRSVZQ0808J10</t>
  </si>
  <si>
    <t>1MZ9KQ2DQTZYY257QW2Y3NWH10</t>
  </si>
  <si>
    <t>أبريل@2024</t>
  </si>
  <si>
    <t>R91ZXHVBJ4T0YBPH7BTGJ7RH10</t>
  </si>
  <si>
    <t>WMCW9727QRR4MF5NG2SSH7RH10</t>
  </si>
  <si>
    <t>43SAH0DR86BRKW1BGP9633VG10</t>
  </si>
  <si>
    <t>CZ20SR6R01CWCDN1TZVD18SG10</t>
  </si>
  <si>
    <t>660K5SNH3AXS386N4T0TCMNG10</t>
  </si>
  <si>
    <t>5AW2VT6R7XT36NNNQQGQCMNG10</t>
  </si>
  <si>
    <t>VWN4DFD3NBFVAHJJ5ZRMCMNG10</t>
  </si>
  <si>
    <t>YVBXSS0MP38274HA59CFCMNG10</t>
  </si>
  <si>
    <t>TMPMYMG4GHJ2WEHYDSB7CMNG10</t>
  </si>
  <si>
    <t>19KNXMQYN3HDJNH0ZG9DHHRH10</t>
  </si>
  <si>
    <t>34QV2AQ3VGM95FGYR1QBB8QH10</t>
  </si>
  <si>
    <t>DPKV51C86KVZXM3KAEZ8B8QH10</t>
  </si>
  <si>
    <t>60YGSXEXRWP5XDWKSB90P2QH10</t>
  </si>
  <si>
    <t>NGMRWGV9EWFBGKB4RYY1M7MJ10</t>
  </si>
  <si>
    <t>MJ134SJ50TSC3E245W2P77DJ10</t>
  </si>
  <si>
    <t>4QEH7F59BZXJ0X936VEK77DJ10</t>
  </si>
  <si>
    <t>V3RYN8765XWJ63HCV5CA07DJ10</t>
  </si>
  <si>
    <t>MY6CED7M64D3ZMNHTZFCWBBJ10</t>
  </si>
  <si>
    <t>0D0M6NB34AH8V57G1RHYG64J10</t>
  </si>
  <si>
    <t>أغسطس @2024</t>
  </si>
  <si>
    <t>SD196CBXQ50CTYMVPD2CYKZH10</t>
  </si>
  <si>
    <t>يونيو@2024</t>
  </si>
  <si>
    <t>8X6TNE25JKJC0ECE28TSW5QH10</t>
  </si>
  <si>
    <t>RMYF8QRD43QZ6XZDF3GR0PJH10</t>
  </si>
  <si>
    <t>ديسمبر@2023</t>
  </si>
  <si>
    <t>YX0A185QC3180B91EYHH8JCH10</t>
  </si>
  <si>
    <t>R9G8782Z51F53TYVVJC9YB8H10</t>
  </si>
  <si>
    <t>NGBTX795FRAV5JKNNJSV230H10</t>
  </si>
  <si>
    <t>S6NVZW3GCTRRZ08AE1EQ0Z7H10</t>
  </si>
  <si>
    <t>HMJ4V8W8KN9V79DZNRWJ59WG10</t>
  </si>
  <si>
    <t>RBRHHH8245AP0A1K82QQAJMJ10</t>
  </si>
  <si>
    <t>ZFM1V36ES22R4PVHE1CMAJMJ10</t>
  </si>
  <si>
    <t>B2EP1QKJHDHKFSK16EYHAJMJ10</t>
  </si>
  <si>
    <t>RNPYY91CYEQ05T4ZX3VEAJMJ10</t>
  </si>
  <si>
    <t>ACX0VDA5MQ3SB38ATNVBAJMJ10</t>
  </si>
  <si>
    <t>Z464RPK2QKYSZG2HAFRZ7JMJ10</t>
  </si>
  <si>
    <t>SM1652969A4FJNB2B6J409MH10</t>
  </si>
  <si>
    <t>FN1EJ8FXAM5KFEVTDKCTH6NH10</t>
  </si>
  <si>
    <t>ZHQ5CA0V9VRJZTXBNWD3V3MH10</t>
  </si>
  <si>
    <t>5H9VNXH8V5W2AA13VG2ASDGH10</t>
  </si>
  <si>
    <t>QQQTQVM5GCGQNPF4GDVGB6HJ10</t>
  </si>
  <si>
    <t>XZGAEDKVECC02NFGVSVCHQAJ10</t>
  </si>
  <si>
    <t>9VFHQR24BSGDDQ0AW40KFQAJ10</t>
  </si>
  <si>
    <t>VKVR1A3E0NAPBVN9GZSHFQAJ10</t>
  </si>
  <si>
    <t>QKF2YCW89HJP4CM5NR8QR0AJ10</t>
  </si>
  <si>
    <t>X3R5YE4HGSKJKRXD3V7N8B3J10</t>
  </si>
  <si>
    <t>يوليو@2024</t>
  </si>
  <si>
    <t>XNTXDN7EB4FTYZG8HM3AGSRH10</t>
  </si>
  <si>
    <t>4FMRD61S24BFY5KZ1G0V558H10</t>
  </si>
  <si>
    <t>VASZ3JEEQJY7S146JV56H57H10</t>
  </si>
  <si>
    <t>2DX6HT44M15C0BBV33VMACBJ10</t>
  </si>
  <si>
    <t>6E4DRXQ5JD8HV3RT43GR3ZQH10</t>
  </si>
  <si>
    <t>SPRXWX3C55EGTYV8CV4H1D3J10</t>
  </si>
  <si>
    <t>Mercedes-Benz - Assets 592.ق.ط.ب</t>
  </si>
  <si>
    <t>G44SSTSN24S212ZT2KY53W1J10</t>
  </si>
  <si>
    <t>BZG5X6TV095EKJNPFZYJBYFH10</t>
  </si>
  <si>
    <t>X1K5BXDDCM7Y1RSHJ2P2NKTG10</t>
  </si>
  <si>
    <t>14F4000482WM19JZ25KNGYMJ10</t>
  </si>
  <si>
    <t>7BFN638TQA9H2PZTWGBFZBBJ10</t>
  </si>
  <si>
    <t>EK1949DJ2FAXKTJ4FTAPWJCJ10</t>
  </si>
  <si>
    <t>J5B8P6DPE2GAKKQ5VNV1SRBJ10</t>
  </si>
  <si>
    <t>PFYCK3S8F75H0VGD9M7GSRBJ10</t>
  </si>
  <si>
    <t>P8FEKE5C2QV98A8YRPY90CBJ10</t>
  </si>
  <si>
    <t>GCJXZMP0EDG2HAC2P65SH9BJ10</t>
  </si>
  <si>
    <t>XEHV28G78X0WCZ7J2WRNF6EJ10</t>
  </si>
  <si>
    <t>MRP9SZYK627WR08094S1ZBBJ10</t>
  </si>
  <si>
    <t>BMSPQAPWJ2TYRFMX1D74YBBJ10</t>
  </si>
  <si>
    <t>Q1XNJABRB3QK72ZJGRV4H9BJ10</t>
  </si>
  <si>
    <t>MN8B32H8SPHN2SMYMANZWC8J10</t>
  </si>
  <si>
    <t>GAWHMW29M2MBY9M0W2A4CSCH10</t>
  </si>
  <si>
    <t>GCDK9Y62M99KDEXZ9VQJDB2J10</t>
  </si>
  <si>
    <t>1GSFJ01TXK61NG61CZHNCB2J10</t>
  </si>
  <si>
    <t>مارس@ 2025</t>
  </si>
  <si>
    <t>3QC841RAQQMVS20Q5C4K7SRH10</t>
  </si>
  <si>
    <t>T45845K2YEXQW5FE14BA6HPH10</t>
  </si>
  <si>
    <t>Z46P54GZ7YQTX4RRBERZ5HPH10</t>
  </si>
  <si>
    <t>V27AGR7Q15W6584EVX903HPH10</t>
  </si>
  <si>
    <t>SDZT1AX7W5V7D3YJW6EX2HPH10</t>
  </si>
  <si>
    <t>SBYZC6AF4YSQ28H0YWAH2HPH10</t>
  </si>
  <si>
    <t>ZG2MT9J9DAXG9RZSTPKNSANH10</t>
  </si>
  <si>
    <t>SY28JWY2F0XHYT1DFZ0HQM1J10</t>
  </si>
  <si>
    <t>WR3JKPFA3X3BXQPA7B9M4FTH10</t>
  </si>
  <si>
    <t>EJ5K4NF3N6X402R2TH3Q4SRH10</t>
  </si>
  <si>
    <t>4YWGXWE0HN784KXN9RJSWANH10</t>
  </si>
  <si>
    <t>PVFT38AKEKPJ7BD9F5M7WANH10</t>
  </si>
  <si>
    <t>Z8FW78T1ZJ47YA1D1XF4VWGH10</t>
  </si>
  <si>
    <t>GNSFX2YR3BEGS5K39SEXTWGH10</t>
  </si>
  <si>
    <t>4TG9NJN4CDNBZG6QTQKNGGGH10</t>
  </si>
  <si>
    <t>3SX4HP14H8193TNXJ1H069FH10</t>
  </si>
  <si>
    <t>MWG61TFH6KZSRJC9W9ZMFSCH10</t>
  </si>
  <si>
    <t>ACWMHZ8JND48YZ7DRAWR59BH10</t>
  </si>
  <si>
    <t>TX2HV8VMCCJNJEGB2NA52MAH10</t>
  </si>
  <si>
    <t>YMGP4D6ZQ6P1R2WTWDPY866H10</t>
  </si>
  <si>
    <t>DHV53ABN0SE43RXMAP9X616H10</t>
  </si>
  <si>
    <t>J8NM3J7RTJ4XDBBCY0FQ1REJ10</t>
  </si>
  <si>
    <t>RTQCHMGHS2JBQV5AF4KMF8WH10</t>
  </si>
  <si>
    <t>X8X5AESAGRS5J3EY5HXXMH1J10</t>
  </si>
  <si>
    <t>3K5K62V9NB41ZQ2XMHT22HKJ10</t>
  </si>
  <si>
    <t>34NGJN6GTE4E6RM8PEVYSEGJ10</t>
  </si>
  <si>
    <t>QPDDZECRHGVQ6R2E91XNYTEJ10</t>
  </si>
  <si>
    <t>NH3HJB7JCAWA3935MH36003J10</t>
  </si>
  <si>
    <t>K6SQWYX3M7NWZHR5NDA4FBMH10</t>
  </si>
  <si>
    <t>4JFWDBXNQBNYMMHKCBFYKTBH10</t>
  </si>
  <si>
    <t>74F78E7PX60YRFCV0W3CJTBH10</t>
  </si>
  <si>
    <t>TN9339PBMNT25MXVHBEFAPEJ10</t>
  </si>
  <si>
    <t>1Y0W47Z445PCDQ4VJ3W63EGH10</t>
  </si>
  <si>
    <t>A8D320EYVF0QGRER4BMM05NJ10</t>
  </si>
  <si>
    <t>Q88NJZZEDJ9Y0NG9XKBV02DJ10</t>
  </si>
  <si>
    <t>6JBZFHM50TPHK20TFZN0JHDJ10</t>
  </si>
  <si>
    <t>C7GHPG3AQYPDE2Z31NXB508J10</t>
  </si>
  <si>
    <t>0AP9TAE40B302RG6WXWFM9RH10</t>
  </si>
  <si>
    <t>HP4ABJ9NANZN9D6B8Z6R94XH10</t>
  </si>
  <si>
    <t>G2K0WHE69CMS3B2PMQSQYP7H10</t>
  </si>
  <si>
    <t>QAK1CD1XMRC13T24RZM45Q7H10</t>
  </si>
  <si>
    <t>CDQW0NW3JA915WX72JB1718H10</t>
  </si>
  <si>
    <t>1JNCGKMB1YKM4PS0SX5FD8FG10</t>
  </si>
  <si>
    <t>878JC7T854SGKMQQSYAN04NJ10</t>
  </si>
  <si>
    <t>XY35TFX2NX7MG3STP81R6FMJ10</t>
  </si>
  <si>
    <t>TRA9HS7X6KEFD2R9BFYQ1TAJ10</t>
  </si>
  <si>
    <t>6SGTR5GDND48XQ7X3BBX0VEJ10</t>
  </si>
  <si>
    <t>8FFRZZ0E9AJV8C4VVWRQ87BJ10</t>
  </si>
  <si>
    <t>R9FHDXDZC81TVRWG1DNCXCNH10</t>
  </si>
  <si>
    <t>M86SRVFW36W0F0G5C2G5MN4H10</t>
  </si>
  <si>
    <t>2RQ0XG5SGDMRY3VG89TSE3JH10</t>
  </si>
  <si>
    <t>72PNMJN53C0VSJATJKWBDNEJ10</t>
  </si>
  <si>
    <t>RGPYAT0AQ2HSY0GFN6NM55WG10</t>
  </si>
  <si>
    <t>BDGGSTR8EZKMCHCZ644T778J10</t>
  </si>
  <si>
    <t>XVN3Q93C0S2W731CPKMDG35J10</t>
  </si>
  <si>
    <t>0RB6D37SJ4Y85SWD6A43Y30J10</t>
  </si>
  <si>
    <t>DQ45T7BSDKZ72WDN24WPYCXH10</t>
  </si>
  <si>
    <t>Y1J4VCKD9BF8VG8DNFH7H9RG10</t>
  </si>
  <si>
    <t>VVMMZPYZG1BSQEYK2GCDMVRH10</t>
  </si>
  <si>
    <t>B8EWJ5X2NVGWJHYWERGQ4NKJ10</t>
  </si>
  <si>
    <t>WNNCXCDZX30QXWK5XVYEGHMJ10</t>
  </si>
  <si>
    <t>HA7ERVEP7794K503PQN7RQRJ10</t>
  </si>
  <si>
    <t>أبريل @ 2025</t>
  </si>
  <si>
    <t>76YQRM96WQHHH45PF05ATCRJ10</t>
  </si>
  <si>
    <t>TTAQH9210K89T7WHZTQA55RJ10</t>
  </si>
  <si>
    <t>SSW6JJ7CAQXZYNR3BKD5KBQJ10</t>
  </si>
  <si>
    <t>R90S98Z54VDE1J9Q7MDZJ7NH10</t>
  </si>
  <si>
    <t>P1T325ZJYTMAV8AYQVW50VMH10</t>
  </si>
  <si>
    <t>J33ZXCJFN2XRK2DKCK5W8SPJ10</t>
  </si>
  <si>
    <t>RYGBAJ6SPGG6A399PE9YXMPJ10</t>
  </si>
  <si>
    <t>YF6YCSFXAB3S2X8GY4SWEDPJ10</t>
  </si>
  <si>
    <t>2C8XES2YM0YQZPACZYAN27SJ10</t>
  </si>
  <si>
    <t>26VQK4FVS6BFAW8S5FAKM1SJ10</t>
  </si>
  <si>
    <t>V2Y62AJZXTAN5T88ANHDCZRJ10</t>
  </si>
  <si>
    <t>A1AKTCFA9DMNQYJ4CE3N5ZSJ10</t>
  </si>
  <si>
    <t>8K1VZH0A7XRF0T48RR644YSJ10</t>
  </si>
  <si>
    <t>TXMBTAVJMC54D99XMNR14YSJ10</t>
  </si>
  <si>
    <t>STQBJKZJVCQVPV94KVNZ3YSJ10</t>
  </si>
  <si>
    <t>QAKPW8A0XWP353BH9BAT3YSJ10</t>
  </si>
  <si>
    <t>0PHJAWFGA339N85D0RR9QXSJ10</t>
  </si>
  <si>
    <t>ND8BH6Z9XQTTND3F4RB0YVSJ10</t>
  </si>
  <si>
    <t>ZXPW0RJZ1QFASSPZ8SJYXVSJ10</t>
  </si>
  <si>
    <t>GKWPVE8YNDD1SMTJ81WWXVSJ10</t>
  </si>
  <si>
    <t>8C9A7HV90EDWANABBDWTXVSJ10</t>
  </si>
  <si>
    <t>2S5E44XDV4YJKD8VQ7J3HVSJ10</t>
  </si>
  <si>
    <t>GTFWHR8TBXNJ8N3T8K9ACHSJ10</t>
  </si>
  <si>
    <t>PCHBDVDB4NMS6K8QH0W58HSJ10</t>
  </si>
  <si>
    <t>SC1WK4VEKJX7RMHZ1TMSWESJ10</t>
  </si>
  <si>
    <t>ATB156DF2BVKYTMAQB275ZTJ10</t>
  </si>
  <si>
    <t xml:space="preserve">مايو  @2025 </t>
  </si>
  <si>
    <t>Y1XVCGNVSFPDDVMF07RXNQTJ10</t>
  </si>
  <si>
    <t>4SV42RPADWWQMFEQSRBFJFTJ10</t>
  </si>
  <si>
    <t>D6KP0KRSXTHC16G4XSF7GFTJ10</t>
  </si>
  <si>
    <t>R4MEHCEN0215MRK6N92CBETJ10</t>
  </si>
  <si>
    <t>FPDXZ2C75BQ9ASB4YFC0SDTJ10</t>
  </si>
  <si>
    <t>0NPTRHP8E0CH8K5EK3J1MDTJ10</t>
  </si>
  <si>
    <t>5ZMWMTARFVX0Q3F3QV7YKDTJ10</t>
  </si>
  <si>
    <t>KSN939WYJ0RRSPXADRM9BDTJ10</t>
  </si>
  <si>
    <t>NQ4YX4R3XM4X84K29J22Q8TJ10</t>
  </si>
  <si>
    <t>56STAK6H60WT3GS86HX9T3TJ10</t>
  </si>
  <si>
    <t>HNSEB5TQ9SGTMQFTGN98T3TJ10</t>
  </si>
  <si>
    <t>KQV1ZHCMG4S4CKQWFHX6T3TJ10</t>
  </si>
  <si>
    <t>21VC5FZADWGKY30PFQ95T3TJ10</t>
  </si>
  <si>
    <t>MTMHGQ8MWETTB6CPX1V3T3TJ10</t>
  </si>
  <si>
    <t>F0M0Y5HFAACDJ388DMYND3TJ10</t>
  </si>
  <si>
    <t>M44YM7HE58MWH8AEFR9403TJ10</t>
  </si>
  <si>
    <t>BKSYYC8YPXY4HYMNAAEC8ZTJ10</t>
  </si>
  <si>
    <t>PDZ0AJYNZ779VQFV046TN5VJ10</t>
  </si>
  <si>
    <t>32NGZ3R77W695NM3751425VJ10</t>
  </si>
  <si>
    <t>QWD711HQMESE9H01W92125VJ10</t>
  </si>
  <si>
    <t>D36BD52VMC5125FAQVJHJ2VJ10</t>
  </si>
  <si>
    <t>ZW7E4PSW2GR3NS1QFFGCQ4VJ10</t>
  </si>
  <si>
    <t>489KB8HQ15XRDNBZFFGCQ4VJ10</t>
  </si>
  <si>
    <t>8Y58J1ZZ6AKCJ33JFFGCQ4VJ10</t>
  </si>
  <si>
    <t>SGKT8Q3ZQ05QVYY7MC4PR3VJ10</t>
  </si>
  <si>
    <t>WP475QZ31Z99FX3HFPHMN2VJ10</t>
  </si>
  <si>
    <t>5QWDKBHBGAC10W3H5WA2SZTJ10</t>
  </si>
  <si>
    <t>BCVTN31750AW3GYN5WA2SZTJ10</t>
  </si>
  <si>
    <t>B6FFVAP0WYY42B3KYQCR72VJ10</t>
  </si>
  <si>
    <t>HAQT0WRM3QQNGTQ5A4BWCPVJ10</t>
  </si>
  <si>
    <t>CFPNHG87V3Y039QXG9M5GPVJ10</t>
  </si>
  <si>
    <t>K2KEQH1EE3TV357C09ESTHVJ10</t>
  </si>
  <si>
    <t>Einv_Elc_Id</t>
  </si>
  <si>
    <t>Relationship_Type</t>
  </si>
  <si>
    <t>Contact_Person</t>
  </si>
  <si>
    <t>Contact_Person_Title</t>
  </si>
  <si>
    <t>Contact_Person_Telephone_number</t>
  </si>
  <si>
    <t xml:space="preserve">Telephone_Number </t>
  </si>
  <si>
    <t>Email_Addres</t>
  </si>
  <si>
    <t xml:space="preserve">Stf_ Code </t>
  </si>
  <si>
    <t>V-0017</t>
  </si>
  <si>
    <t>Pyramid Turizm IC DIC TIC Film Ve Reklam</t>
  </si>
  <si>
    <t>ISTANBUL/TURKY</t>
  </si>
  <si>
    <t>Bnk_Curr</t>
  </si>
  <si>
    <t>Bnk_Sav</t>
  </si>
  <si>
    <t>Bnk_Usd</t>
  </si>
  <si>
    <t>Bnk_Eur</t>
  </si>
  <si>
    <t>MR. MAGED ATM</t>
  </si>
  <si>
    <t>Mr. MAGED SAMI</t>
  </si>
  <si>
    <t>Big Entertainment</t>
  </si>
  <si>
    <t>C0181</t>
  </si>
  <si>
    <t>أغذية محضرة / محفوظة</t>
  </si>
  <si>
    <t>سيارات خاصه - جولدن</t>
  </si>
  <si>
    <t>4F1JT1HG9KQ2Y5MGNQ3WQMXJ10</t>
  </si>
  <si>
    <t>RAC1EQY1SSFBRR0GFHPZVNWJ10</t>
  </si>
  <si>
    <t>6FTKBK85HR8MYV1YPJYRZBWJ10</t>
  </si>
  <si>
    <t>99EV6NFNZYB9H05AWDEAR3WJ10</t>
  </si>
  <si>
    <t>يونيو@2025</t>
  </si>
  <si>
    <t>CISCO  hosting in Cairo for partners on July 4seasons</t>
  </si>
  <si>
    <t>7.25.C0006.113</t>
  </si>
  <si>
    <t xml:space="preserve"> MS Office Cattering</t>
  </si>
  <si>
    <t>4W8S9MTEYD90Z7KK911EEFXJ10</t>
  </si>
  <si>
    <t>HNRBTDCNHE257488DZV8NNWJ10</t>
  </si>
  <si>
    <t>5.25.C0003.112</t>
  </si>
  <si>
    <t>Bnk_Exp</t>
  </si>
  <si>
    <t>Bank Charges</t>
  </si>
  <si>
    <t>Bnk_Trnz</t>
  </si>
  <si>
    <t>Bank Internal Transfer</t>
  </si>
  <si>
    <t>C0203</t>
  </si>
  <si>
    <t xml:space="preserve">SILICON 21 </t>
  </si>
  <si>
    <t>Own001</t>
  </si>
  <si>
    <t>Own002</t>
  </si>
  <si>
    <t>Own003</t>
  </si>
  <si>
    <t>Own004</t>
  </si>
  <si>
    <t>Own005</t>
  </si>
  <si>
    <t>Own006</t>
  </si>
  <si>
    <t>Own007</t>
  </si>
  <si>
    <t>Own008</t>
  </si>
  <si>
    <t>Own009</t>
  </si>
  <si>
    <t>Own010</t>
  </si>
  <si>
    <t>Own011</t>
  </si>
  <si>
    <t>Own012</t>
  </si>
  <si>
    <t>Own013</t>
  </si>
  <si>
    <t>Own014</t>
  </si>
  <si>
    <t>Own015</t>
  </si>
  <si>
    <t>Own016</t>
  </si>
  <si>
    <t>Own017</t>
  </si>
  <si>
    <t>Own018</t>
  </si>
  <si>
    <t>Own019</t>
  </si>
  <si>
    <t>Own020</t>
  </si>
  <si>
    <t>Own021</t>
  </si>
  <si>
    <t>Own022</t>
  </si>
  <si>
    <t>Own023</t>
  </si>
  <si>
    <t>Own024</t>
  </si>
  <si>
    <t>Own025</t>
  </si>
  <si>
    <t>Own026</t>
  </si>
  <si>
    <t>Own027</t>
  </si>
  <si>
    <t>Own028</t>
  </si>
  <si>
    <t>Own029</t>
  </si>
  <si>
    <t>Own030</t>
  </si>
  <si>
    <t>Own031</t>
  </si>
  <si>
    <t>Own032</t>
  </si>
  <si>
    <t>Own033</t>
  </si>
  <si>
    <t>Own034</t>
  </si>
  <si>
    <t>Own035</t>
  </si>
  <si>
    <t>Own036</t>
  </si>
  <si>
    <t>Own037</t>
  </si>
  <si>
    <t>Own038</t>
  </si>
  <si>
    <t>Own039</t>
  </si>
  <si>
    <t>Own040</t>
  </si>
  <si>
    <t>Own041</t>
  </si>
  <si>
    <t>Own042</t>
  </si>
  <si>
    <t>Own043</t>
  </si>
  <si>
    <t>Own044</t>
  </si>
  <si>
    <t>Own045</t>
  </si>
  <si>
    <t>Own046</t>
  </si>
  <si>
    <t>Own047</t>
  </si>
  <si>
    <t>Own048</t>
  </si>
  <si>
    <t>Own049</t>
  </si>
  <si>
    <t>Own050</t>
  </si>
  <si>
    <t>Own051</t>
  </si>
  <si>
    <t>Own052</t>
  </si>
  <si>
    <t>Own053</t>
  </si>
  <si>
    <t>Own054</t>
  </si>
  <si>
    <t>Own055</t>
  </si>
  <si>
    <t>Own056</t>
  </si>
  <si>
    <t>Own057</t>
  </si>
  <si>
    <t>Own058</t>
  </si>
  <si>
    <t>Own059</t>
  </si>
  <si>
    <t>Own060</t>
  </si>
  <si>
    <t>Own061</t>
  </si>
  <si>
    <t>Own062</t>
  </si>
  <si>
    <t>Own063</t>
  </si>
  <si>
    <t>Own064</t>
  </si>
  <si>
    <t>Own065</t>
  </si>
  <si>
    <t>Own066</t>
  </si>
  <si>
    <t>Own067</t>
  </si>
  <si>
    <t>Own068</t>
  </si>
  <si>
    <t>Own069</t>
  </si>
  <si>
    <t>Own070</t>
  </si>
  <si>
    <t>Own071</t>
  </si>
  <si>
    <t>Own072</t>
  </si>
  <si>
    <t>Own073</t>
  </si>
  <si>
    <t>Own074</t>
  </si>
  <si>
    <t>Own075</t>
  </si>
  <si>
    <t>Own076</t>
  </si>
  <si>
    <t>Own077</t>
  </si>
  <si>
    <t>Own078</t>
  </si>
  <si>
    <t>Own079</t>
  </si>
  <si>
    <t>Own080</t>
  </si>
  <si>
    <t>Own081</t>
  </si>
  <si>
    <t>Own082</t>
  </si>
  <si>
    <t>ESCA CUEVA TH O</t>
  </si>
  <si>
    <t>CTSBVM97CT282WGJZBYNHKYJ10</t>
  </si>
  <si>
    <t>V5XEFZQC9EDWTA91K3AAXBYJ10</t>
  </si>
  <si>
    <t>CoCen_Key_ID</t>
  </si>
  <si>
    <t>ALLOWANCES</t>
  </si>
  <si>
    <t>BONUS</t>
  </si>
  <si>
    <t>Chq_Pay</t>
  </si>
  <si>
    <t>FinanceCost</t>
  </si>
  <si>
    <t>Mercedes-Benz -Assets592.ق.ط.ب</t>
  </si>
  <si>
    <t>Mr.MagedPersonal</t>
  </si>
  <si>
    <t>Petty_Cash</t>
  </si>
  <si>
    <t>SALARY</t>
  </si>
  <si>
    <t>Office Sustain Expenses</t>
  </si>
  <si>
    <t>Diff Job Numbers</t>
  </si>
  <si>
    <t>Own083</t>
  </si>
  <si>
    <t>Own084</t>
  </si>
  <si>
    <t xml:space="preserve">CFC CAIRO </t>
  </si>
  <si>
    <t xml:space="preserve">FUTTAIM LAND </t>
  </si>
  <si>
    <t>Supper Market - Office Cattering</t>
  </si>
  <si>
    <t>DEFACTO CFC CA</t>
  </si>
  <si>
    <t>Own085</t>
  </si>
  <si>
    <t>PIRELLI CAIRO N</t>
  </si>
  <si>
    <t>بركات جروب للتوكيلات التجارية ستالين</t>
  </si>
  <si>
    <t>LemonTree CAIRO</t>
  </si>
  <si>
    <t>Own086</t>
  </si>
  <si>
    <t>Carlos CAIRO E</t>
  </si>
  <si>
    <t>Own087</t>
  </si>
  <si>
    <t>Own088</t>
  </si>
  <si>
    <t>NGOV INTRATE EG</t>
  </si>
  <si>
    <t>Cost Center</t>
  </si>
  <si>
    <t>Apply</t>
  </si>
  <si>
    <t xml:space="preserve">PNR Key Narration </t>
  </si>
  <si>
    <t>7.25.C0160.114</t>
  </si>
  <si>
    <t xml:space="preserve">Spanish Visa </t>
  </si>
  <si>
    <t xml:space="preserve">MOU </t>
  </si>
  <si>
    <t>IT &amp; Computer Devises Lap tops</t>
  </si>
  <si>
    <t>8AMYDWE2FE03ZGDKNPAGXZYJ10</t>
  </si>
  <si>
    <t>RWK9DX45SDP7ZKDW4PMZXHZJ10</t>
  </si>
  <si>
    <t>V6VAAVN3VKJEQ872BRQ5GGZJ10</t>
  </si>
  <si>
    <t>W4VZCHXZVSHN8078T4MNWFZJ10</t>
  </si>
  <si>
    <t>EKR76FFZK4BSCKD5Q2P29FZJ10</t>
  </si>
  <si>
    <t>9YJECV1CJXFM1XZV3T6GQBZJ10</t>
  </si>
  <si>
    <t>0XE20G1RMFHSP69MWWH1R7ZJ10</t>
  </si>
  <si>
    <t>B5EM9MSEFY1EPQYN6REHD5ZJ10</t>
  </si>
  <si>
    <t>QK9BY9VM8FQBESKRK5PX75ZJ10</t>
  </si>
  <si>
    <t>QDWKR5V5MDKJCQZZTC8B2RZJ10</t>
  </si>
  <si>
    <t>2GE0XBFZ7M4A19KQ8T2J9TZJ10</t>
  </si>
  <si>
    <t>5R3AYPVPRZZ9FFXRR8JS2XZJ10</t>
  </si>
  <si>
    <t>C6A39VTYVEEBG2V5V1QAC20K10</t>
  </si>
  <si>
    <t>R6VJR3HB1GQF7GDBVD5R7A0K10</t>
  </si>
  <si>
    <t>HJ8HGPAB9HYXVSKCS532B81K10</t>
  </si>
  <si>
    <t>Stff_Exp</t>
  </si>
  <si>
    <t>يوليو@2025</t>
  </si>
  <si>
    <t>Cancellation Requested</t>
  </si>
  <si>
    <t xml:space="preserve">Orphanides </t>
  </si>
  <si>
    <t>Own089</t>
  </si>
  <si>
    <t xml:space="preserve">GIGI REST 6TH OCT </t>
  </si>
  <si>
    <t>Own090</t>
  </si>
  <si>
    <t xml:space="preserve">BOBS CAIRO </t>
  </si>
  <si>
    <t>Own091</t>
  </si>
  <si>
    <t xml:space="preserve">THE GROVE SUP </t>
  </si>
  <si>
    <t>Own092</t>
  </si>
  <si>
    <t>GOBUCKET</t>
  </si>
  <si>
    <t>Own093</t>
  </si>
  <si>
    <t xml:space="preserve">ESCA PLAYA </t>
  </si>
  <si>
    <t>Own094</t>
  </si>
  <si>
    <t xml:space="preserve">شيكات برسم الدفع </t>
  </si>
  <si>
    <t>CHQ Contra Account</t>
  </si>
  <si>
    <t>Own095</t>
  </si>
  <si>
    <t>Babbos Eat</t>
  </si>
  <si>
    <t>ZIARAT ALQUSUR ALRAYIYSIA</t>
  </si>
  <si>
    <t xml:space="preserve">KUFU REST -88 Pier Touristic Revolution </t>
  </si>
  <si>
    <t>09.25.C0031.115</t>
  </si>
  <si>
    <t>09.25.C0003.116</t>
  </si>
  <si>
    <t xml:space="preserve"> MS MEA MCC LT Offsite  JW MARR</t>
  </si>
  <si>
    <t>Ef Baron Palace Sahl Hashish 65 PAX TAX Autho</t>
  </si>
  <si>
    <t>ETAX</t>
  </si>
  <si>
    <t>104
ب 104 القريه الذكيه الكيلو 28 طريق مصر اسكندريه الصحراوي الجيزه
6 October City (1), Giza, EG</t>
  </si>
  <si>
    <t>Art Studio To Organize Parties</t>
  </si>
  <si>
    <t xml:space="preserve">Royal Star Aqua Center </t>
  </si>
  <si>
    <t>Own096</t>
  </si>
  <si>
    <t xml:space="preserve">Ozone OTHERS </t>
  </si>
  <si>
    <t>C0205</t>
  </si>
  <si>
    <t xml:space="preserve">Emma Horne Travel </t>
  </si>
  <si>
    <t>C0206</t>
  </si>
  <si>
    <t>C0207</t>
  </si>
  <si>
    <t>C0208</t>
  </si>
  <si>
    <t>Eleveo a.s.</t>
  </si>
  <si>
    <t>+420 222 554 111</t>
  </si>
  <si>
    <t>Anas Assil
Sales Manager ME</t>
  </si>
  <si>
    <t>M +971.555547337</t>
  </si>
  <si>
    <t>Address Office 1305, JBCS, Cluster W. JTC, PO Box 283982,UAE</t>
  </si>
  <si>
    <t>Imagicle DMCC</t>
  </si>
  <si>
    <t>389SWW7TQ0PXD057QEZR1Q6K10</t>
  </si>
  <si>
    <t>7Z473CA4JYRK1R7EFXSS7G6K10</t>
  </si>
  <si>
    <t>CGHRG1V3553T6YCB1PB4ZF6K10</t>
  </si>
  <si>
    <t>GWS5VSQYCVYVHDEW18NXXF6K10</t>
  </si>
  <si>
    <t>VX1QMBSQMB2S3FVCF488SF6K10</t>
  </si>
  <si>
    <t>3NX66PMN1D1GXCFSMAQN1E6K10</t>
  </si>
  <si>
    <t>ANK5XBFGP7KJ22B2E30DKD6K10</t>
  </si>
  <si>
    <t>FSBF5WBRG3N4RAVNY7V20B6K10</t>
  </si>
  <si>
    <t>SMVTAAKNAJ56Z1447EHXFA6K10</t>
  </si>
  <si>
    <t>6H7R5RW5AZKBK5WZMF3Y7A6K10</t>
  </si>
  <si>
    <t>2NE02KB5WMJ0AMMM49EQ3A6K10</t>
  </si>
  <si>
    <t>89PJRB3FXWX665HG7CGY386K10</t>
  </si>
  <si>
    <t>A8D9D88212G8VAGXJPBPQ76K10</t>
  </si>
  <si>
    <t>EM9D4T25NJQXYT9KTSNJP56K10</t>
  </si>
  <si>
    <t>GR26S6H9NCTZ2C6DNGHSV36K10</t>
  </si>
  <si>
    <t>71RS5J248S9CA7VZ9KQQZZ5K10</t>
  </si>
  <si>
    <t>33VPZH7A3TPHFGGZDCQHZZ5K10</t>
  </si>
  <si>
    <t>79EGQT0SN522VVKR6QCGZZ5K10</t>
  </si>
  <si>
    <t>N61YH16AMA89HBS83KWZ4Y5K10</t>
  </si>
  <si>
    <t>A8X50RF1ZSV22P48RYZSHX5K10</t>
  </si>
  <si>
    <t>GNP34223S3EW40613GH5EX5K10</t>
  </si>
  <si>
    <t>NM1G0NJC8QBWK1Y54FXHDX5K10</t>
  </si>
  <si>
    <t>CE0TS51WPVWK9H352Y989X5K10</t>
  </si>
  <si>
    <t>AWQ65VD56W4626BMH4PNDV5K10</t>
  </si>
  <si>
    <t>4ZYHZVWWMVXRKTC10CYMXN5K10</t>
  </si>
  <si>
    <t>NSG8JP86P2RE7HWD00B8WN5K10</t>
  </si>
  <si>
    <t>B8EQPXYSKMKNB3GESRWDVN5K10</t>
  </si>
  <si>
    <t>AA1TF9MPNMT3VFGBPATSKN5K10</t>
  </si>
  <si>
    <t>Z4HFTTWPWP44B3ME7TDENE5K10</t>
  </si>
  <si>
    <t>8E5RZM77ERCARPW1QS4ZZD5K10</t>
  </si>
  <si>
    <t>H10DRX2FVQ7P3YC9H9C94C5K10</t>
  </si>
  <si>
    <t>SPWJNAR9SAX0PCKKBHMFQB5K10</t>
  </si>
  <si>
    <t>6CAM69BFC9JR19ZNTJXPCB5K10</t>
  </si>
  <si>
    <t>9RKDA2EYRQSNM6T29NASF95K10</t>
  </si>
  <si>
    <t>C2EBVS2CMSDZZGZWDXHJ395K10</t>
  </si>
  <si>
    <t>EJPZMNR0D5WN0V9A028RR85K10</t>
  </si>
  <si>
    <t>KMH41NRYEG81G9X4Y2H9G75K10</t>
  </si>
  <si>
    <t>E8FQV804V2F1B85QK8H9X65K10</t>
  </si>
  <si>
    <t>V1WXXM2MX95Y2CXTAPS2E45K10</t>
  </si>
  <si>
    <t>VDBSPTA029D5WCJYY1AGZ35K10</t>
  </si>
  <si>
    <t>GXM5R7BR2F5WBVVGQDRDZ35K10</t>
  </si>
  <si>
    <t>6A2399Z2QYH11WCJECXV5W4K10</t>
  </si>
  <si>
    <t>A11VPDHKVRBFBZYEWJKHZS4K10</t>
  </si>
  <si>
    <t>03YQT0FNBWCKVEVGN1JYTZ3K10</t>
  </si>
  <si>
    <t>Smiles Ink</t>
  </si>
  <si>
    <t>Baron Palace Sahl Hasheesh</t>
  </si>
  <si>
    <t>The Lemon Tree &amp; Co.</t>
  </si>
  <si>
    <t>Andrea Mariouteya</t>
  </si>
  <si>
    <t>Lupo bianco</t>
  </si>
  <si>
    <t>THE RITZ CARLTON DUBAI INTERNATIONAL FINANCIAL CENTRE</t>
  </si>
  <si>
    <t xml:space="preserve">MARRIOTT MENA HOUSE CAIRO </t>
  </si>
  <si>
    <t>C0032</t>
  </si>
  <si>
    <t>ESCA ARK</t>
  </si>
  <si>
    <t>10.25.C0003.118</t>
  </si>
  <si>
    <t>CISCO RENEW Offsite meeting for MEA-TRC @Mena House</t>
  </si>
  <si>
    <t>09.25.C0203.119</t>
  </si>
  <si>
    <t xml:space="preserve"> GITEX DXB ETAX</t>
  </si>
  <si>
    <t>09.25.C0165.117</t>
  </si>
  <si>
    <t xml:space="preserve"> Cairo Tour</t>
  </si>
  <si>
    <t>E- Finance Co 2</t>
  </si>
  <si>
    <t>Own097</t>
  </si>
  <si>
    <t>Joes Venture</t>
  </si>
  <si>
    <t>KHOLOUD AHMED AL RIMAL Egypt for Constractions</t>
  </si>
  <si>
    <t>YZZKQ5C10TFPK4JNDVFEDD6K10</t>
  </si>
  <si>
    <t>09RND2X0P2PF6SK0HQ1S9D6K10</t>
  </si>
  <si>
    <t>P3ZN0CKB8H4CCVEBW38CYC6K10</t>
  </si>
  <si>
    <t>M5ZNCANAENDT0MWQ508EXC6K10</t>
  </si>
  <si>
    <t>BXYV3BGG2HT59QBKH0NJKD6K10</t>
  </si>
  <si>
    <t>5ZSNCV0KJYHMHCP0BHW6995K10</t>
  </si>
  <si>
    <t>9M98QXVRG3D98JA3YA4S695K10</t>
  </si>
  <si>
    <t>YJFVZFNR7HT2XWWG3MEMZE7K10</t>
  </si>
  <si>
    <t>S6XJ2QY4CM8ND8NR3XCA0H7K10</t>
  </si>
  <si>
    <t>WT44DPA7A1WQAG963JCHX17K10</t>
  </si>
  <si>
    <t>4NXFRJ7FR9THD6JBV9S7J17K10</t>
  </si>
  <si>
    <t>B14C3FK622DWWATGWSWY1X6K10</t>
  </si>
  <si>
    <t>RRYAES1QG1YDR7Z5NHC3ME7K10</t>
  </si>
  <si>
    <t>GT5ARQ73RB7TVEG4NTR6JC7K10</t>
  </si>
  <si>
    <t>M4QND5PVP0RTF00WA6KJBC7K10</t>
  </si>
  <si>
    <t>J21XA1A2E0WVVVBQFKJR4C7K10</t>
  </si>
  <si>
    <t>YAJGZAM2P2KH1Z7XS2283C7K10</t>
  </si>
  <si>
    <t>S0Q32KQRENJG6SZ6AFWFWB7K10</t>
  </si>
  <si>
    <t>X15D5GHTBV0PVVM8E6AVY87K10</t>
  </si>
  <si>
    <t>C0209</t>
  </si>
  <si>
    <t>Intercall Marketing Services Pte Ltd</t>
  </si>
  <si>
    <t>Clarence Sim</t>
  </si>
  <si>
    <t>77 Science Park Drive, #03-15, Singapore 118256</t>
  </si>
  <si>
    <t>Lapoire Touristic</t>
  </si>
  <si>
    <t xml:space="preserve">احمد عبدالله عبدالعزيز ابوالعلا-Einvoice Portal download </t>
  </si>
  <si>
    <t xml:space="preserve">Dahabiya Hadeel Nile cruise </t>
  </si>
  <si>
    <t>GDVN6NTAV1ADP0SFREV47P7K10</t>
  </si>
  <si>
    <t>S04ART6J11CG6MH0H9YJQP7K10</t>
  </si>
  <si>
    <t>558G2J3XGRTTAA6GBFWSTX7K10</t>
  </si>
  <si>
    <t>RXZ9AV05ERQH4NATJPDDTX7K10</t>
  </si>
  <si>
    <t>S00ZR0GMCGEBZ5F7YV0DR08K10</t>
  </si>
  <si>
    <t>DAR4E60WHW0V1D4ET6G1H08K10</t>
  </si>
  <si>
    <t>PMBVDRGJR7FDQF77CN2QZ08K10</t>
  </si>
  <si>
    <t>C0204</t>
  </si>
  <si>
    <t>Own098</t>
  </si>
  <si>
    <r>
      <t>PAUL ALMAZA</t>
    </r>
    <r>
      <rPr>
        <sz val="12"/>
        <color theme="1"/>
        <rFont val="Calibri"/>
        <family val="2"/>
        <scheme val="minor"/>
      </rPr>
      <t xml:space="preserve"> </t>
    </r>
  </si>
  <si>
    <t>05GWSPQN9Y2H48Z97GZRF88K10</t>
  </si>
  <si>
    <t>F2609PG5Z3Z8P8HGS2JG558K10</t>
  </si>
  <si>
    <t>Z91EPP2PGGYCRBR8SNK8GJ8K10</t>
  </si>
  <si>
    <t>FJQVR8GWCTZFTPCZ5KKEHN8K10</t>
  </si>
  <si>
    <t>607QKF00ZTBWEY2S1T4WQQ8K10</t>
  </si>
  <si>
    <t>P5F3NPBT4DVD4X981E4Z7T8K10</t>
  </si>
  <si>
    <t>S A GIZA</t>
  </si>
  <si>
    <t>Own099</t>
  </si>
  <si>
    <t>RED RIBBON</t>
  </si>
  <si>
    <t>Own100</t>
  </si>
  <si>
    <t>Stf-0006</t>
  </si>
  <si>
    <t>Stf-0007</t>
  </si>
  <si>
    <t xml:space="preserve">Lina Guide </t>
  </si>
  <si>
    <t>Nourhan</t>
  </si>
  <si>
    <t>Stf-0008</t>
  </si>
  <si>
    <t xml:space="preserve">Mahmoud EL Kanja </t>
  </si>
  <si>
    <t>S84YAK6H3EFHD0H5BPTPZ19K10</t>
  </si>
  <si>
    <t>PCE1E8K3EN241DPNYDMH029K10</t>
  </si>
  <si>
    <t>EAST WEST ADVE RTISING(L.L.C)</t>
  </si>
  <si>
    <t xml:space="preserve">Jolie Ville Hotel  Luxor </t>
  </si>
  <si>
    <t>KHAN EL KHALILI REST OBEROI Najeeb Mahfouz</t>
  </si>
  <si>
    <t>LE MERIDIEN CAIRO AIRPORT</t>
  </si>
  <si>
    <t>megumi restaurant</t>
  </si>
  <si>
    <t>Own101</t>
  </si>
  <si>
    <t>PIXI ARABELLA MALL</t>
  </si>
  <si>
    <t>09.25.C0003.120</t>
  </si>
  <si>
    <t>MS AVP Country Visit</t>
  </si>
  <si>
    <t>11.25.C0006.121</t>
  </si>
  <si>
    <t>CISCO Webex One INTERCONTINENTAL</t>
  </si>
  <si>
    <t xml:space="preserve">12.25.C0160.122 </t>
  </si>
  <si>
    <t>VAS Hilton Bosphorus</t>
  </si>
  <si>
    <t>10.25.C0003.123</t>
  </si>
  <si>
    <t>Catering service for Dr Khaled Al-Anani</t>
  </si>
  <si>
    <t>P8SZ9PBNVV8F5476BHXG1C9K10</t>
  </si>
  <si>
    <t>Q351PWE2RMNMBAF1HVEN4A9K10</t>
  </si>
  <si>
    <t>RS5JVCYXG1QV5AKFHVEN4A9K10</t>
  </si>
  <si>
    <t>6SFP7Q33RFMWG5RDWTC24A9K10</t>
  </si>
  <si>
    <t>KC99BKWFYQKCZNVH4GC83A9K10</t>
  </si>
  <si>
    <t>GGM99PF4DW49VM5RMS7V2A9K10</t>
  </si>
  <si>
    <t>Own102</t>
  </si>
  <si>
    <t xml:space="preserve">ALFA LAB EGYPT </t>
  </si>
  <si>
    <t>Own103</t>
  </si>
  <si>
    <t>ELSHAIMAA ELSAYED AHMED</t>
  </si>
  <si>
    <t xml:space="preserve">White And Blue </t>
  </si>
  <si>
    <t>Own104</t>
  </si>
  <si>
    <t>NewLight</t>
  </si>
  <si>
    <t>Own105</t>
  </si>
  <si>
    <t>IT &amp; Comp</t>
  </si>
  <si>
    <t xml:space="preserve">Internal Trnz </t>
  </si>
  <si>
    <t>11.25.C0202.124</t>
  </si>
  <si>
    <t>Activity Day – Nov</t>
  </si>
  <si>
    <t>11.26.C0205.201</t>
  </si>
  <si>
    <t xml:space="preserve"> Emma Horne Travel</t>
  </si>
  <si>
    <t>Hadeel Dahabiyya – 5 nights on Exclusive Basis – November 2026</t>
  </si>
  <si>
    <t>02.26.C0006.202</t>
  </si>
  <si>
    <t>Cisco</t>
  </si>
  <si>
    <t>01.26.C0006.203</t>
  </si>
  <si>
    <t xml:space="preserve"> CISCO 4 Banking</t>
  </si>
  <si>
    <t>Couch Potato Design</t>
  </si>
  <si>
    <t>KKFHT5V7XA8DVMFH3V08RDAK10</t>
  </si>
  <si>
    <t>QNG97VKZVA52H2H8G3TKJDAK10</t>
  </si>
  <si>
    <t>MXW821CC25M11JA9YNF1ZY9K10</t>
  </si>
  <si>
    <t>M1N0PJ3S8FEMGYT66RKMYY9K10</t>
  </si>
  <si>
    <t>6W5AYZZGRAAHP7VDBT1SXR9K10</t>
  </si>
  <si>
    <t>Own106</t>
  </si>
  <si>
    <t>Deraya</t>
  </si>
  <si>
    <t>AQE8H2FBDH3DS8H8J7XXSNAK10</t>
  </si>
  <si>
    <t>07W3EG7GSBSRGN4ZJ7XXSNAK10</t>
  </si>
  <si>
    <t>NAJPX81J237ZCK7BGSC15VAK10</t>
  </si>
  <si>
    <t>TENB8W1MKSB9DE8S16WHWRAK10</t>
  </si>
  <si>
    <t>GGJA7760HT80SJVHGGT6JTAK10</t>
  </si>
  <si>
    <t>Own107</t>
  </si>
  <si>
    <t>Own108</t>
  </si>
  <si>
    <t>CONVERSE CAIRO</t>
  </si>
  <si>
    <t>AMERICAN EAGLE CAIRO</t>
  </si>
  <si>
    <t>H AND M ALMAZA</t>
  </si>
  <si>
    <t>Own109</t>
  </si>
  <si>
    <t>HV129PFREEG1YDCSCZWADABK10</t>
  </si>
  <si>
    <t>CATN28QMXXX2FCJZA8Z923BK10</t>
  </si>
  <si>
    <t>027FKS3BVDDDXK0S6KXD23BK10</t>
  </si>
  <si>
    <t>C0210</t>
  </si>
  <si>
    <t xml:space="preserve">VAS Integrated Soluations </t>
  </si>
  <si>
    <t>XXN9BFP0H7CD1NQD4CVMEJBK10</t>
  </si>
  <si>
    <t>Stf-0009</t>
  </si>
  <si>
    <t>Amany Nabil guide</t>
  </si>
  <si>
    <t>Delicious Bakery -TBS</t>
  </si>
  <si>
    <t>F&amp;B Provider-Bakery</t>
  </si>
  <si>
    <t xml:space="preserve">Hamada </t>
  </si>
  <si>
    <t>BE2V2MNK61XQ6CMXBQF68WBK10</t>
  </si>
  <si>
    <t>Reliance Software Design LLC</t>
  </si>
  <si>
    <t>social insurance authority egypt</t>
  </si>
  <si>
    <t xml:space="preserve">peking new cairo </t>
  </si>
  <si>
    <t>Own110</t>
  </si>
  <si>
    <t xml:space="preserve">SCARLET 3 CAFE </t>
  </si>
  <si>
    <t>Own111</t>
  </si>
  <si>
    <t>Own112</t>
  </si>
  <si>
    <t>Own113</t>
  </si>
  <si>
    <t xml:space="preserve"> VISION HUB MED </t>
  </si>
  <si>
    <t>MOHAMED KHALED MOHAMED هبة الله اشرف محمود محمد كينجس</t>
  </si>
  <si>
    <t>Oilvo Palm Hills</t>
  </si>
  <si>
    <t>12.25.C0003.125</t>
  </si>
  <si>
    <t>MS. Egyptair MOU Cirmony</t>
  </si>
  <si>
    <t xml:space="preserve">01.26.C0003.204 </t>
  </si>
  <si>
    <t>Event Setup, Catering, Branding Materials</t>
  </si>
  <si>
    <t>VEX6804QEK9NZVDX0Q07B5DK10</t>
  </si>
  <si>
    <t>S73AV9ADX8BWMYR4B6PXJ5DK10</t>
  </si>
  <si>
    <t>1Q4YCKANT2MXA6VD89W4S5DK10</t>
  </si>
  <si>
    <t>A0ERA3Y8C884363DSQXW1HCK10</t>
  </si>
  <si>
    <t>XE3NY8MJ340ZA35SB1SJZ6DK10</t>
  </si>
  <si>
    <t>B744GVZP21SZXQG5T772S5DK10</t>
  </si>
  <si>
    <t>GVAGN629SVY1R886VEYNWNCK10</t>
  </si>
  <si>
    <t>HJJBTQE1HSHFRA0ZY5KYKKCK10</t>
  </si>
  <si>
    <t>B4RGSD1S5GJPS3V832C2SKCK10</t>
  </si>
  <si>
    <t xml:space="preserve">YAMOUR MOHAMED </t>
  </si>
  <si>
    <t xml:space="preserve">Dusit TAO </t>
  </si>
  <si>
    <t>MARE RESTURA C</t>
  </si>
  <si>
    <t>Own114</t>
  </si>
  <si>
    <t>02.26.C0006.205</t>
  </si>
  <si>
    <t>Unit 4B, Byron House, Lansdowne Court, Bumpers Way, Chippenham SN14 6RZ, United Kingdom</t>
  </si>
  <si>
    <t>Katie Burchell</t>
  </si>
  <si>
    <t>kburchell@vqcomms.com</t>
  </si>
  <si>
    <t>Webex One - Morocco (Sponsorship) The View Bouznika Hotel, Casablanca - Morocco
Date: February 3, 2026</t>
  </si>
  <si>
    <t>VQ Communications Ltd</t>
  </si>
  <si>
    <t>C0211</t>
  </si>
  <si>
    <t>Kurmi Enterprise AE-ME &amp; APAC I Kurmi Software</t>
  </si>
  <si>
    <t>+971(0)54 354 0555</t>
  </si>
  <si>
    <t>Dubai,UAE</t>
  </si>
  <si>
    <t>Nabil Massri</t>
  </si>
  <si>
    <t>nabil.massri@kurmi-software.com</t>
  </si>
  <si>
    <t>201,Al Ameri Tower Barsha Heights (tecom) Dubai , UAE</t>
  </si>
  <si>
    <t>+971 4 5541706</t>
  </si>
  <si>
    <t>Jennifer Melecio</t>
  </si>
  <si>
    <t>Dock in Four - Block D Boudníkova 2514/7 180 00 Praha 8 – Libeň Czech Republic</t>
  </si>
  <si>
    <t>Rebecca Rosas
Global Marketing Director</t>
  </si>
  <si>
    <t xml:space="preserve">The View BOUZNIKA Wellness Hospitality Of Africa </t>
  </si>
  <si>
    <t>Casablanca Morrocow</t>
  </si>
  <si>
    <t>بولد استوديو للدعايه والاعلان -Boald Stadio</t>
  </si>
  <si>
    <t>Photo &amp; Video Documentary service provider</t>
  </si>
  <si>
    <t>Ahmed Alfie</t>
  </si>
  <si>
    <t>GM</t>
  </si>
  <si>
    <t>+20 11 12666287</t>
  </si>
  <si>
    <t xml:space="preserve">Sound, Light &amp; Monitors </t>
  </si>
  <si>
    <t>INTEGRAL PRESTATIONS SARL</t>
  </si>
  <si>
    <t>سيد فتحي حسين للمقاولات والدعايه والاعلان</t>
  </si>
  <si>
    <t>Mobaco for industries and trade S.A.E.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</si>
  <si>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</si>
  <si>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</si>
  <si>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</si>
  <si>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</si>
  <si>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</si>
  <si>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</si>
  <si>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</si>
  <si>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</si>
  <si>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</si>
  <si>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</si>
  <si>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</si>
  <si>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</si>
  <si>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</si>
  <si>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</si>
  <si>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</si>
  <si>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</si>
  <si>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</si>
  <si>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</si>
  <si>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</si>
  <si>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</si>
  <si>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</si>
  <si>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</si>
  <si>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</si>
  <si>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</si>
  <si>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</si>
  <si>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</si>
  <si>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</si>
  <si>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</si>
  <si>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</si>
  <si>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</si>
  <si>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</si>
  <si>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</si>
  <si>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</si>
  <si>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</si>
  <si>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</si>
  <si>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</si>
  <si>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</si>
  <si>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</si>
  <si>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</si>
  <si>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</si>
  <si>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</si>
  <si>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V00411</t>
  </si>
  <si>
    <t>V0042</t>
  </si>
  <si>
    <t>V0043</t>
  </si>
  <si>
    <t>V0044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</si>
  <si>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</si>
  <si>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</si>
  <si>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</si>
  <si>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</si>
  <si>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</si>
  <si>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</si>
  <si>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</si>
  <si>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</si>
  <si>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</si>
  <si>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</si>
  <si>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</si>
  <si>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</si>
  <si>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</si>
  <si>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</si>
  <si>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</si>
  <si>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</si>
  <si>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</si>
  <si>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</si>
  <si>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</si>
  <si>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</si>
  <si>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</si>
  <si>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</si>
  <si>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</si>
  <si>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</si>
  <si>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</si>
  <si>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</si>
  <si>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</si>
  <si>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</si>
  <si>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</si>
  <si>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</si>
  <si>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</si>
  <si>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</si>
  <si>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</si>
  <si>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</si>
  <si>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</si>
  <si>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V0085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</si>
  <si>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</si>
  <si>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</si>
  <si>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</si>
  <si>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</si>
  <si>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</si>
  <si>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</si>
  <si>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</si>
  <si>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</si>
  <si>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</si>
  <si>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</si>
  <si>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</si>
  <si>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</si>
  <si>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</si>
  <si>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</si>
  <si>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</si>
  <si>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</si>
  <si>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</si>
  <si>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</si>
  <si>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</si>
  <si>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</si>
  <si>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</si>
  <si>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</si>
  <si>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</si>
  <si>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</si>
  <si>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</si>
  <si>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</si>
  <si>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V0117</t>
  </si>
  <si>
    <t>V0136</t>
  </si>
  <si>
    <t>V0155</t>
  </si>
  <si>
    <t>V0174</t>
  </si>
  <si>
    <t>V0193</t>
  </si>
  <si>
    <t>V0212</t>
  </si>
  <si>
    <t>V0231</t>
  </si>
  <si>
    <t>V0250</t>
  </si>
  <si>
    <t>V0269</t>
  </si>
  <si>
    <t>V0288</t>
  </si>
  <si>
    <t>V0307</t>
  </si>
  <si>
    <t>V0326</t>
  </si>
  <si>
    <t>V0345</t>
  </si>
  <si>
    <t>V0364</t>
  </si>
  <si>
    <t>V0383</t>
  </si>
  <si>
    <t>V0402</t>
  </si>
  <si>
    <t>V0421</t>
  </si>
  <si>
    <t>V0440</t>
  </si>
  <si>
    <t>V0459</t>
  </si>
  <si>
    <t>V0478</t>
  </si>
  <si>
    <t>V0497</t>
  </si>
  <si>
    <t>V0516</t>
  </si>
  <si>
    <t>V0517</t>
  </si>
  <si>
    <t>V0518</t>
  </si>
  <si>
    <t>V0519</t>
  </si>
  <si>
    <t>V0520</t>
  </si>
  <si>
    <t>V0521</t>
  </si>
  <si>
    <t>V0522</t>
  </si>
  <si>
    <t>V0523</t>
  </si>
  <si>
    <t>V0524</t>
  </si>
  <si>
    <t>V0525</t>
  </si>
  <si>
    <t>V0526</t>
  </si>
  <si>
    <t>V0527</t>
  </si>
  <si>
    <t>V0528</t>
  </si>
  <si>
    <t>V0529</t>
  </si>
  <si>
    <t>V0530</t>
  </si>
  <si>
    <t>V0531</t>
  </si>
  <si>
    <t>V0532</t>
  </si>
  <si>
    <t>V0533</t>
  </si>
  <si>
    <t>V0534</t>
  </si>
  <si>
    <t>V0535</t>
  </si>
  <si>
    <t>V0536</t>
  </si>
  <si>
    <t>V0537</t>
  </si>
  <si>
    <t>V0538</t>
  </si>
  <si>
    <t>V0539</t>
  </si>
  <si>
    <t>V0540</t>
  </si>
  <si>
    <t>V0541</t>
  </si>
  <si>
    <t>V0542</t>
  </si>
  <si>
    <t>V0543</t>
  </si>
  <si>
    <t>V0544</t>
  </si>
  <si>
    <t>V0545</t>
  </si>
  <si>
    <t>V0546</t>
  </si>
  <si>
    <t>V0547</t>
  </si>
  <si>
    <t>V0548</t>
  </si>
  <si>
    <t>V0549</t>
  </si>
  <si>
    <t>V0550</t>
  </si>
  <si>
    <t>V0551</t>
  </si>
  <si>
    <t>V0552</t>
  </si>
  <si>
    <t>2 BROTHERS</t>
  </si>
  <si>
    <t>Own115</t>
  </si>
  <si>
    <t>NATIONAL COMPANY FOR EXHIBITI</t>
  </si>
  <si>
    <t>V0553</t>
  </si>
  <si>
    <t>V0554</t>
  </si>
  <si>
    <t>Own116</t>
  </si>
  <si>
    <t>Own117</t>
  </si>
  <si>
    <t>Own118</t>
  </si>
  <si>
    <t>Own119</t>
  </si>
  <si>
    <t>Tams and E</t>
  </si>
  <si>
    <t>Pharmacy Pharm</t>
  </si>
  <si>
    <t>EDGE OTHERS</t>
  </si>
  <si>
    <t>04.26.C0202.211</t>
  </si>
  <si>
    <t xml:space="preserve">Kick Off Apr 21 - 23 '2026 Luxor - Upper Egypt </t>
  </si>
  <si>
    <t>Fatma Abdelsalam   Regional Human Resources Manger MEA &amp; Turkiye</t>
  </si>
  <si>
    <t>02.26.C0003.212</t>
  </si>
  <si>
    <t>02.26.C0003.210</t>
  </si>
  <si>
    <r>
      <t>101544086</t>
    </r>
    <r>
      <rPr>
        <sz val="10"/>
        <color theme="1"/>
        <rFont val="Segoe UI"/>
        <family val="2"/>
      </rPr>
      <t> </t>
    </r>
  </si>
  <si>
    <t>Total cost</t>
  </si>
  <si>
    <t>Currancy</t>
  </si>
  <si>
    <t xml:space="preserve"> FY26 Partnerships to combat Cybercrime CELA Event Westin Hotel - New Cairo </t>
  </si>
  <si>
    <t>210.A</t>
  </si>
  <si>
    <t>210.B</t>
  </si>
  <si>
    <t>02.26.C0003.211</t>
  </si>
  <si>
    <t>C0004</t>
  </si>
  <si>
    <t>C0005</t>
  </si>
  <si>
    <t xml:space="preserve"> FY26 Partnerships to combat Cybercrime CELA Event Westin Hotel - New Cairo -Transfer</t>
  </si>
  <si>
    <t xml:space="preserve">Start Date </t>
  </si>
  <si>
    <t>End Date</t>
  </si>
  <si>
    <t>Size</t>
  </si>
  <si>
    <t>Location</t>
  </si>
  <si>
    <t>Venue</t>
  </si>
  <si>
    <t xml:space="preserve">Westin Hotel - New Cairo </t>
  </si>
  <si>
    <t>The Grand Ballroom</t>
  </si>
  <si>
    <t>RED SEA  catamaran</t>
  </si>
  <si>
    <t>V0555</t>
  </si>
  <si>
    <t xml:space="preserve"> JASMINE SARA  TAHA ZAK</t>
  </si>
  <si>
    <t>EL TARZY</t>
  </si>
  <si>
    <t>V0556</t>
  </si>
  <si>
    <t>MOHARRAM AND PARTNERS FOR PUB LIC AF</t>
  </si>
  <si>
    <t>203.A</t>
  </si>
  <si>
    <t xml:space="preserve"> CISCO 4 Banking-Participation Slicon 21</t>
  </si>
  <si>
    <t>TZ1RP5QHCHBB8MP4MVGWSHGK10</t>
  </si>
  <si>
    <t>W19ET9JJRECTJN5RYJMHTHGK10</t>
  </si>
  <si>
    <t>T7KZFSET8ZQABKCW34KXTHGK10</t>
  </si>
  <si>
    <t>44 El Tayaran St., Nasr City - Cairo, 2nd District Nasr City, Cairo, Egypt</t>
  </si>
  <si>
    <t>Ahmed Essam</t>
  </si>
  <si>
    <t>+20 10 24898117</t>
  </si>
  <si>
    <t xml:space="preserve"> </t>
  </si>
  <si>
    <t>The Westin Cairo Golf Resort &amp; Spa</t>
  </si>
  <si>
    <t>Steigenberger Golf Resort El Gouna</t>
  </si>
  <si>
    <t xml:space="preserve">The Smokery Restaurants </t>
  </si>
  <si>
    <t>V0557</t>
  </si>
  <si>
    <t>Slow Food Restaurants</t>
  </si>
  <si>
    <t>V0558</t>
  </si>
  <si>
    <t>Mohammed Elsayed BAG</t>
  </si>
  <si>
    <t>3SA6XMB2CBTJAE7AAHAQVHGK10</t>
  </si>
  <si>
    <t>D2NYCH0PBBKZHWP6SB9T62JK10</t>
  </si>
  <si>
    <t>69T6WW21DX3PZZFB4656RVHK10</t>
  </si>
  <si>
    <t>WCQ9M7M48SK6AYYFP1BJMNDK10</t>
  </si>
  <si>
    <t>BAP71KGR91BMPTXBDK23JRHK10</t>
  </si>
  <si>
    <t>60N52HTT2MS1TKE3H63NHRHK10</t>
  </si>
  <si>
    <t>AEJC78VB6JDKDBRW7JVGHRHK10</t>
  </si>
  <si>
    <t>JDN3P94DD1S4AQ0YCR63Q6HK10</t>
  </si>
  <si>
    <t>VJCY9ZZXPPJE15GECR63Q6HK10</t>
  </si>
  <si>
    <t>K8R1G11P52NQ2V12CR63Q6HK10</t>
  </si>
  <si>
    <t>Y48G6B01KAH1H847BR63Q6HK10</t>
  </si>
  <si>
    <t>28S388KAZSDCTEZ7VWCWYJHK10</t>
  </si>
  <si>
    <t>5N3CSXA0FDJJ6B5CVWCWYJHK10</t>
  </si>
  <si>
    <t>HW61PTB2S48KGBK229C9A6HK10</t>
  </si>
  <si>
    <t>6Z3NB3EQFB8TD6GW4AQ4D3HK10</t>
  </si>
  <si>
    <t>162ZYRXNZSCEJ7NXE52BNZFK10</t>
  </si>
  <si>
    <t>HRWPHYBN6DHFPJ0QZM98Y0HK10</t>
  </si>
  <si>
    <t>KVC7AVC1ATYCY4C0TJQJCZGK10</t>
  </si>
  <si>
    <t>Stf-0010</t>
  </si>
  <si>
    <t>Leqaa Mohamed ING</t>
  </si>
  <si>
    <t xml:space="preserve"> tams and</t>
  </si>
  <si>
    <t>Own120</t>
  </si>
  <si>
    <t>شركة ڤيچوال زووم اوديو - visual Zoom audio</t>
  </si>
  <si>
    <t>V0559</t>
  </si>
  <si>
    <t xml:space="preserve">BASEL SAMI SAWIRUS </t>
  </si>
  <si>
    <t>Own121</t>
  </si>
  <si>
    <t>3BTWTT10V7FD8XKPZP85Y5JK10</t>
  </si>
  <si>
    <t>BJV70RK90QXM8C0YASFMY5JK10</t>
  </si>
  <si>
    <t>SN4W877Z0ZS91Z3ZAWCEY5JK10</t>
  </si>
  <si>
    <t>2CCXWN48M8TSS3B2JJCTY5JK10</t>
  </si>
  <si>
    <t>RR4FAJB75XH6KW5TEPHDGWEK10</t>
  </si>
  <si>
    <t>2P2DGY8QXPYM27W5KNXJV5JK10</t>
  </si>
  <si>
    <t>S5351F3TN4J5NY49307NF7JK10</t>
  </si>
  <si>
    <t>08AVGZ8QDAMM8M77XYHWF7JK10</t>
  </si>
  <si>
    <t>GXQ8JTBGZKVB7ZHGSXJ6G7JK10</t>
  </si>
  <si>
    <t>PSKQ8QZNHS7WGNVMMKCMESKK10</t>
  </si>
  <si>
    <t>34KN3E2C2SE9B8TFKR2BESKK10</t>
  </si>
  <si>
    <t>N43QW22T73PF5PEQ846JM8FK10</t>
  </si>
  <si>
    <t>VKB1GHDJD120NRS119HB61HK10</t>
  </si>
  <si>
    <t>YMGHFMBXVGREXYXW19HB61HK10</t>
  </si>
  <si>
    <t>R0ER1F8QXXXG6YTTH81N61HK10</t>
  </si>
  <si>
    <t>03.26.C0031.209</t>
  </si>
  <si>
    <t>Insurance Sector - Sharm El Sheikh - Egypt</t>
  </si>
  <si>
    <t>K1DC1VEGG4WYP7KNCQ0V61HK10</t>
  </si>
  <si>
    <t>HSSFW3C2G0DF7PXZ1RAA71HK10</t>
  </si>
  <si>
    <t>XPWKCA08HPT6P7GB1RAA71HK10</t>
  </si>
  <si>
    <t>53C24SNXJ82RYBTCMFXF25EK10</t>
  </si>
  <si>
    <t>4XWCTSGG5QAM0T1BNFXF25EK10</t>
  </si>
  <si>
    <t>PBW3RXTD9YFDR0BV13CF12GK10</t>
  </si>
  <si>
    <t>H2HBHWPF70KMH1DFTP265PEK10</t>
  </si>
  <si>
    <t>2D0KV4JS8T3ESST49CAB3VKK10</t>
  </si>
  <si>
    <t>RF93TNGYTDJ77BDXN3V349KK10</t>
  </si>
  <si>
    <t>XDTJ48SS4G1DX7W3Z6H0A5JK10</t>
  </si>
  <si>
    <t>F3EKGB7D8BXZE91QDWMJE2JK10</t>
  </si>
  <si>
    <t>4PA522JE92GZF7WFP4BWF2JK10</t>
  </si>
  <si>
    <t>94GQ5W9S5BJM0CGQNCS3WGHK10</t>
  </si>
  <si>
    <t>DGKXEJKBRQ3QYCVHF68YRGHK10</t>
  </si>
  <si>
    <t>8261Q8XR26E2RHK9M8XETGHK10</t>
  </si>
  <si>
    <t>Z4KSH1FR59X2H7J8JE71QGHK10</t>
  </si>
  <si>
    <t>HN8TWJG5J3EMXR43VAGTSGHK10</t>
  </si>
  <si>
    <t>2GARJM072G0CK1FSFJRT5YGK10</t>
  </si>
  <si>
    <t>KPC00FRC4S9BCEKQ50H2PYGK10</t>
  </si>
  <si>
    <t>2WD2QV5JT373KHKTHWWB4KFK10</t>
  </si>
  <si>
    <t>9WQ37H92N55WC8NZQAM01WEK10</t>
  </si>
  <si>
    <t>THQ10E6K57W41GT1SFR4J4EK10</t>
  </si>
  <si>
    <t>W1SE9PSRTFR9B5YK1E0HJ4EK10</t>
  </si>
  <si>
    <t>SJB1PW0A0G10MVXE7WE9J4EK10</t>
  </si>
  <si>
    <t>FWMVEDRRE65RZMG7GA01J4EK10</t>
  </si>
  <si>
    <t xml:space="preserve">03.25.C0003.217 </t>
  </si>
  <si>
    <t>MS. Sohour Hakawi AL Qahira</t>
  </si>
  <si>
    <t xml:space="preserve">03.26.C0003.216 </t>
  </si>
  <si>
    <t>MS Ramadan Suhoor with Customers 2026</t>
  </si>
  <si>
    <t>02.26.C0003.214</t>
  </si>
  <si>
    <t xml:space="preserve"> Ms AI Everything Give Awayes</t>
  </si>
  <si>
    <t>02.25.C0001.207</t>
  </si>
  <si>
    <t xml:space="preserve"> Abbott MEN Team Meeting</t>
  </si>
  <si>
    <t xml:space="preserve">Cisco AI Every Thing Both </t>
  </si>
  <si>
    <t xml:space="preserve">01.25.C0003.206 </t>
  </si>
  <si>
    <t>MS Catering</t>
  </si>
  <si>
    <t>G6B0TRECX49EQMMNV47JKYEK10</t>
  </si>
  <si>
    <t>8XNR6NJR23XM1KR33G2AVHKK10</t>
  </si>
  <si>
    <t>4XHB1J8GCWZ12GW574CP3XJK10</t>
  </si>
  <si>
    <t>RG3NCN61FT5BDQ2SJ3V4GGJK10</t>
  </si>
  <si>
    <t>TFFEY3YF577Z17M0CJJJA7JK10</t>
  </si>
  <si>
    <t>4VG1PSCWEHFXSVYNGR0RTHGK10</t>
  </si>
  <si>
    <t>Q8W80HA04D14W51DJWXN6NMK10</t>
  </si>
  <si>
    <t>FKSNM9J6HAHYG3QW7A352FGK10</t>
  </si>
  <si>
    <t>08E12ZEM6WD4EPHVVSVZMTFK10</t>
  </si>
  <si>
    <t>SZ0JEGHNW0TK7SHVFEQ63HHK10</t>
  </si>
  <si>
    <t>0E93R4JJW5K63RQE2HDJQ8FK10</t>
  </si>
  <si>
    <t>9HP38PYFARTYFCTWMCFN1ZFK10</t>
  </si>
  <si>
    <t>AFPVCA6JS619ECK5AS66JAJK10</t>
  </si>
  <si>
    <t>5P803XNS2JN1PKM2QY22VGHK10</t>
  </si>
  <si>
    <t>2F0W1XAG6J6YVEJPAXP312HK10</t>
  </si>
  <si>
    <t>DXP5HN094PW861ZA5EH0TGHK10</t>
  </si>
  <si>
    <t>RY4QSAYAEQ0DRWJSN033VFMK10</t>
  </si>
  <si>
    <t>YW8B8J4KSP4NS2GVKGYTESJK10</t>
  </si>
  <si>
    <t>JXTQ1XPSFD6W1JBSRESQFSJK10</t>
  </si>
  <si>
    <t>V4J7M8A797HMTK6QHZRYESJK10</t>
  </si>
  <si>
    <t>HECFG8C9WCB8Y80R24GMVHGK10</t>
  </si>
  <si>
    <t>V5VER47P1SK18NXYTX413FGK10</t>
  </si>
  <si>
    <t>PB2FN1P2Z481AB8ES2GPJCGK10</t>
  </si>
  <si>
    <t>RESGG9S239RHWAMN367TJCGK10</t>
  </si>
  <si>
    <t>HX6R9XSA19TS57E17BHZXXFK10</t>
  </si>
  <si>
    <t>3D4D990HXGS6190GZDX09DFK10</t>
  </si>
  <si>
    <t>6H2AYCYZKGNS1ARQE14AGYGK10</t>
  </si>
  <si>
    <t>FQ40J3N7SF99K7GVBBPJ5XFK10</t>
  </si>
  <si>
    <t xml:space="preserve">PATCHI Concept for chocolate &amp; Gifts </t>
  </si>
  <si>
    <t>8BACR609XXVD2XCXC1DM2BFK10</t>
  </si>
  <si>
    <t>CQGYMW9V892HB7C1EMBFB1HK10</t>
  </si>
  <si>
    <t>VYF2JT9X0NDF4MQPHQ02TMJK10</t>
  </si>
  <si>
    <t>WKJ4TP4YG86EAFT7XXDYT2GK10</t>
  </si>
  <si>
    <t>8QNJN9960X94SK43H4GMX8FK10</t>
  </si>
  <si>
    <t>7RVBTHP4VKYNQ6M7SR426JDK10</t>
  </si>
  <si>
    <t>5KHQHZGAFK3T6VTMDT4CS8DK10</t>
  </si>
  <si>
    <t>N3S7K442KXRNA22G22SE2RDK10</t>
  </si>
  <si>
    <t>01.26.C0006.204 - EGY000EP699240L</t>
  </si>
  <si>
    <t>4J9ENRHW9BRX1YFKA6Y4VTDK10</t>
  </si>
  <si>
    <t>01.26.C0006.203 /EGY000EP696594L</t>
  </si>
  <si>
    <t>4XBQN71171JPTTNFY0N0VTDK10</t>
  </si>
  <si>
    <t>02.26.C0006.202 /EGY000EP674290L</t>
  </si>
  <si>
    <t>G7E9AWN668VF59HZVECXTTDK10</t>
  </si>
  <si>
    <t>04.26.C0006.218/EGY000EP71924</t>
  </si>
  <si>
    <t>ZCDEDJW1CJNPD3VBG1571ZMK10</t>
  </si>
  <si>
    <t xml:space="preserve">04.26.C0202.211 </t>
  </si>
  <si>
    <t>EP4G34HSA71A7JNTGMGBPZMK10</t>
  </si>
  <si>
    <t xml:space="preserve">04.25.C0006.218 </t>
  </si>
  <si>
    <t>CISCO 4Seasons 70 Pax</t>
  </si>
  <si>
    <t>INV UAE 26-0001</t>
  </si>
  <si>
    <t>INV UAE 26-0002</t>
  </si>
  <si>
    <t>INV UAE 26-0003</t>
  </si>
  <si>
    <t>INV UAE 26-0004</t>
  </si>
  <si>
    <t>100333931200003</t>
  </si>
  <si>
    <t xml:space="preserve">Code ID </t>
  </si>
  <si>
    <t xml:space="preserve">Item Categorg </t>
  </si>
  <si>
    <t xml:space="preserve">Air Tickets </t>
  </si>
  <si>
    <t xml:space="preserve">Accomodation </t>
  </si>
  <si>
    <t>Transfers</t>
  </si>
  <si>
    <t xml:space="preserve">Avenue Rental Charges </t>
  </si>
  <si>
    <t>Stage Sound &amp; Light Fixtures</t>
  </si>
  <si>
    <t xml:space="preserve">Catering &amp; Restaurant Services </t>
  </si>
  <si>
    <t>Entertainment &amp; Activities During Events</t>
  </si>
  <si>
    <t xml:space="preserve">Designing &amp; Printing of Advertisement elements </t>
  </si>
  <si>
    <t xml:space="preserve">Outdoors, Decoration &amp; Boths Execution  </t>
  </si>
  <si>
    <t xml:space="preserve">photo &amp; videoes Documenteries &amp; montage Services </t>
  </si>
  <si>
    <t xml:space="preserve">Ushering Services </t>
  </si>
  <si>
    <t>Giveaways</t>
  </si>
  <si>
    <t>Own122</t>
  </si>
  <si>
    <t>GLOBAL FOR ENERGY</t>
  </si>
  <si>
    <t xml:space="preserve">HARMONY EVENTS </t>
  </si>
  <si>
    <t>V0560</t>
  </si>
  <si>
    <t>Own123</t>
  </si>
  <si>
    <t xml:space="preserve"> La Via En Rose</t>
  </si>
  <si>
    <t>EG-692383735-100075960</t>
  </si>
  <si>
    <t>EG-692383735-10007597</t>
  </si>
  <si>
    <t>EG-692383735-10007581</t>
  </si>
  <si>
    <t>EG-692383735-10007579</t>
  </si>
  <si>
    <t>EG-692383735-10007605</t>
  </si>
  <si>
    <t>SAL_EINV_ITEM</t>
  </si>
  <si>
    <t>N/A</t>
  </si>
  <si>
    <t>SAL_Acc_Key</t>
  </si>
  <si>
    <t>PUR_Acc_Key</t>
  </si>
  <si>
    <t>PUR_EINV_ITEM</t>
  </si>
  <si>
    <t>Bnk_Cur</t>
  </si>
  <si>
    <t>+201117040840</t>
  </si>
  <si>
    <t>QDY74PX0EMRBK8TS4Q4612NK10</t>
  </si>
  <si>
    <t>QY7BW81FMPMZ8B581J6WJAQK10</t>
  </si>
  <si>
    <t>GN7SGPWWWBWGZ47QTER3W4QK10</t>
  </si>
  <si>
    <t>TBKKYH5957EZGSQ0NVSRA4QK10</t>
  </si>
  <si>
    <t>7QRFT6NDWQNKM1HRMTWDS4QK10</t>
  </si>
  <si>
    <t>V7P635RMR0F7CTXKPPVD23QK10</t>
  </si>
  <si>
    <t>2YYQTECRDHSF2WET01MBD7NK10</t>
  </si>
  <si>
    <t>BMZ2GB6V8KYF7ZXC6DPXSPNK10</t>
  </si>
  <si>
    <t>PWW3H4HNZCC36V6BPP0EK8PK10</t>
  </si>
  <si>
    <t>3X1H24H91V8F5N3RXYSV8KPK10</t>
  </si>
  <si>
    <t>5ZD9AHK3SHZ7FJCVV612F8PK10</t>
  </si>
  <si>
    <t>GXDK7TV5PC62X32APR60F8PK10</t>
  </si>
  <si>
    <t>Y802F1R6899RY43NJ601MKNK10</t>
  </si>
  <si>
    <t>PJGT1BPBT8QCW4FPENRSK4QK10</t>
  </si>
  <si>
    <t>CWRNGJSFAJFZVC2AXEH7TPNK10</t>
  </si>
  <si>
    <t>PPS2FH41VW6E26D1QXFDEQNK10</t>
  </si>
  <si>
    <t>75XJJ2WAGT17J02T69PDHZPK10</t>
  </si>
  <si>
    <t>6BK98M8NC2SSHNFPFC3BPJPK10</t>
  </si>
  <si>
    <t>8PQAS2N5X0FTRVDD5PWMX3NK10</t>
  </si>
  <si>
    <t>33</t>
  </si>
  <si>
    <t>ZMBGKWR02YFC5C5FR2RHX3NK10</t>
  </si>
  <si>
    <t>32</t>
  </si>
  <si>
    <t>SAQ8HZ3TW72E1V1GDRJG03NK10</t>
  </si>
  <si>
    <t>04.26.C0006.220/ #EGY000EP724118L</t>
  </si>
  <si>
    <t>XXHZC2VDS31JF8K47VM394QK10</t>
  </si>
  <si>
    <t>04.26.C0003.219/101615661 Extn-101617531</t>
  </si>
  <si>
    <t>HA200GHB8RF2J86MWNJ284QK10</t>
  </si>
  <si>
    <t>04.26.C0006.218/#EGY000EP719250L</t>
  </si>
  <si>
    <t>PB53QTAHS4SF41ZZRTCY7JPK10</t>
  </si>
  <si>
    <t>04.26.C0003.219/101615661</t>
  </si>
  <si>
    <t>QGP282BPP97MCAWTEW445PNK10</t>
  </si>
  <si>
    <t>WY2772HB3EJBCQNTM6111FNK10</t>
  </si>
  <si>
    <t>S92TGDS0HH8C9X9V85ZX5QQK10</t>
  </si>
  <si>
    <t>Air Ticket CAI-LXR Tickets : 0776907585440-0776907585501</t>
  </si>
  <si>
    <t>4JKKQBQ9XK4YRCA2VFP6NPQK10</t>
  </si>
  <si>
    <t>Iphone 17 Mist Blue 256GB</t>
  </si>
  <si>
    <t>1CY35417PZ8X86V0SYG5HPQK10</t>
  </si>
  <si>
    <t>FEHX2XWN6Y5Z02XMS4VQEPQK10</t>
  </si>
  <si>
    <t>79N8YJC4R48H0JJSZQ0YEHQK10</t>
  </si>
  <si>
    <t>HEK2YN2EE25TQ7YCSR7XEHQK10</t>
  </si>
  <si>
    <t>X7XDCPKG1PN8G9WGTA5B4FQK10</t>
  </si>
  <si>
    <t>SYN2RD9N8PNF55V5A1NT4FQK10</t>
  </si>
  <si>
    <t>RCP0QXJ6ZK0MZWQ2PQ1K4FQK10</t>
  </si>
  <si>
    <t>B6RKRY93ZAWK104C30JV5FQK10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</si>
</sst>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_);[Red]\(&quot;$&quot;#,##0.00\)"/>
    <numFmt numFmtId="165" formatCode="_(* #,##0.00_);_(* \(#,##0.0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Calibri"/>
      <family val="2"/>
    </font>
    <font>
      <sz val="8"/>
      <name val="Arial Rounded MT Bold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9"/>
      <color rgb="FF605E5C"/>
      <name val="Tahoma"/>
      <family val="2"/>
    </font>
    <font>
      <b/>
      <sz val="12"/>
      <name val="Courier New"/>
      <family val="3"/>
    </font>
    <font>
      <sz val="10"/>
      <name val="Courier New"/>
      <family val="3"/>
    </font>
    <font>
      <sz val="12"/>
      <color theme="1"/>
      <name val="Aptos"/>
      <family val="2"/>
    </font>
    <font>
      <sz val="11"/>
      <color theme="1"/>
      <name val="Century Gothic"/>
      <family val="2"/>
    </font>
    <font>
      <b/>
      <sz val="12"/>
      <color theme="1"/>
      <name val="Calibri"/>
      <family val="2"/>
      <scheme val="minor"/>
    </font>
    <font>
      <sz val="11"/>
      <name val="Book Antiqua"/>
      <family val="1"/>
    </font>
    <font>
      <sz val="10"/>
      <color theme="1"/>
      <name val="Segoe UI"/>
      <family val="2"/>
    </font>
    <font>
      <b/>
      <sz val="12"/>
      <color rgb="FFC00000"/>
      <name val="Century Gothic"/>
      <family val="2"/>
    </font>
    <font>
      <sz val="11"/>
      <color rgb="FF1F1F1F"/>
      <name val="Arial"/>
      <family val="2"/>
    </font>
    <font>
      <sz val="11"/>
      <color rgb="FF9C0006"/>
      <name val="Calibri"/>
      <family val="2"/>
      <scheme val="minor"/>
    </font>
    <font>
      <b/>
      <sz val="11"/>
      <color theme="0"/>
      <name val="Arial"/>
      <family val="2"/>
    </font>
    <font>
      <sz val="12"/>
      <color theme="1"/>
      <name val="Book Antiqua"/>
      <family val="1"/>
    </font>
    <font>
      <b/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D9E1F2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404040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1" fillId="0" borderId="0"/>
  </cellStyleXfs>
  <cellXfs count="83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5" xfId="0" applyFont="1" applyBorder="1"/>
    <xf numFmtId="0" fontId="2" fillId="2" borderId="1" xfId="0" applyFont="1" applyFill="1" applyBorder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applyBorder="1"/>
    <xf numFmtId="0" fontId="0" fillId="3" borderId="0" xfId="0" applyFill="1"/>
    <xf numFmtId="165" fontId="9" fillId="0" borderId="6" xfId="3" applyNumberFormat="1" applyFont="1" applyFill="1" applyBorder="1" applyAlignment="1">
      <alignment horizontal="center" vertical="center" wrapText="1"/>
    </xf>
    <xf numFmtId="165" fontId="9" fillId="0" borderId="0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6" xfId="2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165" fontId="9" fillId="0" borderId="6" xfId="3" applyNumberFormat="1" applyFont="1" applyFill="1" applyBorder="1" applyAlignment="1">
      <alignment horizontal="center" vertical="center"/>
    </xf>
    <xf numFmtId="0" fontId="0" fillId="0" borderId="4" xfId="0" applyBorder="1"/>
    <xf numFmtId="165" fontId="0" fillId="0" borderId="0" xfId="1" applyFont="1"/>
    <xf numFmtId="14" fontId="0" fillId="4" borderId="0" xfId="0" applyNumberFormat="1" applyFill="1"/>
    <xf numFmtId="0" fontId="13" fillId="0" borderId="0" xfId="0" applyFont="1"/>
    <xf numFmtId="0" fontId="14" fillId="0" borderId="0" xfId="0" applyFont="1"/>
    <xf numFmtId="0" fontId="5" fillId="0" borderId="0" xfId="2"/>
    <xf numFmtId="0" fontId="15" fillId="0" borderId="0" xfId="0" applyFont="1"/>
    <xf numFmtId="0" fontId="16" fillId="0" borderId="0" xfId="0" applyFont="1"/>
    <xf numFmtId="0" fontId="16" fillId="3" borderId="0" xfId="0" applyFont="1" applyFill="1"/>
    <xf numFmtId="0" fontId="15" fillId="0" borderId="0" xfId="0" applyFont="1" applyAlignment="1">
      <alignment vertical="center"/>
    </xf>
    <xf numFmtId="49" fontId="18" fillId="0" borderId="0" xfId="4" applyNumberFormat="1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0" fillId="5" borderId="8" xfId="0" applyFill="1" applyBorder="1"/>
    <xf numFmtId="0" fontId="0" fillId="5" borderId="9" xfId="0" applyFill="1" applyBorder="1"/>
    <xf numFmtId="0" fontId="0" fillId="7" borderId="2" xfId="0" applyFill="1" applyBorder="1"/>
    <xf numFmtId="0" fontId="0" fillId="5" borderId="0" xfId="0" applyFill="1"/>
    <xf numFmtId="0" fontId="0" fillId="0" borderId="8" xfId="0" applyBorder="1"/>
    <xf numFmtId="0" fontId="0" fillId="0" borderId="9" xfId="0" applyBorder="1"/>
    <xf numFmtId="0" fontId="0" fillId="6" borderId="0" xfId="0" applyFill="1"/>
    <xf numFmtId="0" fontId="0" fillId="7" borderId="3" xfId="0" applyFill="1" applyBorder="1"/>
    <xf numFmtId="0" fontId="21" fillId="0" borderId="0" xfId="0" applyFont="1"/>
    <xf numFmtId="0" fontId="0" fillId="7" borderId="10" xfId="0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7" fillId="0" borderId="0" xfId="4" applyFont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165" fontId="9" fillId="0" borderId="0" xfId="3" applyNumberFormat="1" applyFont="1" applyFill="1" applyBorder="1" applyAlignment="1">
      <alignment horizontal="center" vertical="center" wrapText="1"/>
    </xf>
    <xf numFmtId="0" fontId="10" fillId="0" borderId="0" xfId="2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5"/>
    <xf numFmtId="0" fontId="1" fillId="0" borderId="0" xfId="5" applyAlignment="1">
      <alignment wrapText="1"/>
    </xf>
    <xf numFmtId="0" fontId="22" fillId="0" borderId="0" xfId="0" applyFont="1" applyAlignment="1">
      <alignment horizontal="left" vertical="center"/>
    </xf>
    <xf numFmtId="0" fontId="18" fillId="0" borderId="0" xfId="4" applyFont="1" applyAlignment="1">
      <alignment horizontal="left" vertical="center" wrapText="1"/>
    </xf>
    <xf numFmtId="0" fontId="20" fillId="0" borderId="0" xfId="0" applyFont="1"/>
    <xf numFmtId="49" fontId="9" fillId="0" borderId="0" xfId="0" applyNumberFormat="1" applyFont="1" applyAlignment="1">
      <alignment horizontal="center" vertical="center"/>
    </xf>
    <xf numFmtId="0" fontId="5" fillId="0" borderId="0" xfId="2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0" borderId="6" xfId="0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13" fillId="0" borderId="0" xfId="0" applyFont="1" applyAlignment="1">
      <alignment wrapText="1"/>
    </xf>
    <xf numFmtId="0" fontId="15" fillId="0" borderId="0" xfId="0" applyFont="1" applyAlignment="1">
      <alignment wrapText="1"/>
    </xf>
    <xf numFmtId="15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" fillId="0" borderId="0" xfId="5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1" fillId="0" borderId="0" xfId="5" applyAlignment="1">
      <alignment horizontal="center" vertical="center" wrapText="1"/>
    </xf>
    <xf numFmtId="4" fontId="0" fillId="0" borderId="0" xfId="0" applyNumberFormat="1"/>
    <xf numFmtId="0" fontId="0" fillId="5" borderId="11" xfId="0" applyFill="1" applyBorder="1"/>
    <xf numFmtId="0" fontId="25" fillId="0" borderId="0" xfId="0" applyFont="1"/>
    <xf numFmtId="0" fontId="26" fillId="0" borderId="0" xfId="0" applyFont="1"/>
    <xf numFmtId="0" fontId="3" fillId="0" borderId="0" xfId="0" applyFont="1" applyAlignment="1">
      <alignment wrapText="1"/>
    </xf>
    <xf numFmtId="165" fontId="0" fillId="0" borderId="2" xfId="1" applyFont="1" applyBorder="1"/>
    <xf numFmtId="165" fontId="0" fillId="7" borderId="2" xfId="1" applyFont="1" applyFill="1" applyBorder="1"/>
    <xf numFmtId="0" fontId="0" fillId="0" borderId="7" xfId="0" applyBorder="1"/>
    <xf numFmtId="0" fontId="0" fillId="3" borderId="6" xfId="0" applyFill="1" applyBorder="1"/>
    <xf numFmtId="0" fontId="27" fillId="2" borderId="12" xfId="0" applyFont="1" applyFill="1" applyBorder="1" applyAlignment="1">
      <alignment horizontal="center" vertical="center"/>
    </xf>
    <xf numFmtId="0" fontId="28" fillId="0" borderId="0" xfId="0" applyFont="1" applyAlignment="1">
      <alignment wrapText="1"/>
    </xf>
    <xf numFmtId="0" fontId="29" fillId="0" borderId="0" xfId="0" applyFont="1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NumberFormat="1"/>
  </cellXfs>
  <cellStyles count="6">
    <cellStyle name="Comma" xfId="1" builtinId="3"/>
    <cellStyle name="Comma 2" xfId="3" xr:uid="{414A8DDA-9184-49F9-9CCD-99C1947E2DAC}"/>
    <cellStyle name="Hyperlink" xfId="2" builtinId="8"/>
    <cellStyle name="Normal" xfId="0" builtinId="0"/>
    <cellStyle name="Normal 2 2" xfId="4" xr:uid="{6C6D1730-2F78-4E35-AC05-E3CA66172656}"/>
    <cellStyle name="Normal 3" xfId="5" xr:uid="{FFADE6B4-2BB6-4171-BB23-EDA047A045EB}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strike val="0"/>
        <outline val="0"/>
        <shadow val="0"/>
        <vertAlign val="baseline"/>
        <color auto="1"/>
        <family val="2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fill>
        <patternFill patternType="none">
          <fgColor indexed="64"/>
          <bgColor auto="1"/>
        </patternFill>
      </fill>
    </dxf>
    <dxf>
      <border outline="0">
        <top style="thin">
          <color theme="9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7D1988-B85B-4A97-80A5-553A48D32A18}" name="Categ_Mtble4" displayName="Categ_Mtble4" ref="B2:E10" totalsRowShown="0">
  <autoFilter ref="B2:E10" xr:uid="{CE2E31DF-8B6E-41BE-91FC-6D439B7982EE}"/>
  <sortState xmlns:xlrd2="http://schemas.microsoft.com/office/spreadsheetml/2017/richdata2" ref="B3:E10">
    <sortCondition ref="B2:B10"/>
  </sortState>
  <tableColumns count="4">
    <tableColumn id="1" xr3:uid="{45881750-2612-4537-809F-E3C9FDFAACCC}" name="Categ_Key"/>
    <tableColumn id="4" xr3:uid="{B97FE02A-0235-4C99-9744-A9F615CA1AAB}" name="Acc_Categ_Name"/>
    <tableColumn id="6" xr3:uid="{7F0EF6E6-87CD-4EA1-8BAC-743A982C10CF}" name="Acc_Cate_Nam_Arb"/>
    <tableColumn id="5" xr3:uid="{BAF99FD1-0E3D-4834-A8B5-56D17D0D1A36}" name="Corrs_Stat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18541-F0FE-4CE7-BCBC-D49E0F9C7A9D}" name="Itm_Cat" displayName="Itm_Cat" ref="A1:F21" totalsRowShown="0" headerRowDxfId="79" headerRowBorderDxfId="78" tableBorderDxfId="77">
  <tableColumns count="6">
    <tableColumn id="1" xr3:uid="{77D9D814-9A0C-4D01-8704-A5248A550E2D}" name="Item_Cat_ID" dataDxfId="76"/>
    <tableColumn id="3" xr3:uid="{739BE79B-ADB1-4C94-8E56-167B1784CC2A}" name="SAL_EINV_ITEM" dataDxfId="75"/>
    <tableColumn id="2" xr3:uid="{55B279D2-7F62-4062-A77A-15D96B027B9A}" name="Item_Categ" dataDxfId="74"/>
    <tableColumn id="4" xr3:uid="{4C74FA7E-B8D5-4714-90FF-0E169066FD3B}" name="SAL_Acc_Key"/>
    <tableColumn id="5" xr3:uid="{05263A05-32DD-4854-B961-C93E82663A9D}" name="PUR_Acc_Key" dataDxfId="73"/>
    <tableColumn id="6" xr3:uid="{F90F6B13-8684-4169-A6A7-D5D6163EB8AB}" name="PUR_EINV_IT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67905F-86A2-4058-9D5E-863CDBDFDFF3}" name="COA_Mtble" displayName="COA_Mtble" ref="B2:E45" totalsRowShown="0">
  <sortState xmlns:xlrd2="http://schemas.microsoft.com/office/spreadsheetml/2017/richdata2" ref="B3:E44">
    <sortCondition ref="E2:E44"/>
  </sortState>
  <tableColumns count="4">
    <tableColumn id="3" xr3:uid="{7671694A-1194-4AFA-9FE8-2083E14B3A87}" name="Acc_Name"/>
    <tableColumn id="4" xr3:uid="{FEA0BE7C-F4EA-4617-8661-396FAA21BAA1}" name="Acc_Name_Arb"/>
    <tableColumn id="1" xr3:uid="{6FAF4C0F-E595-40DC-A83E-8A5507B58F17}" name="Acc_Key"/>
    <tableColumn id="6" xr3:uid="{63CD613D-F548-4129-B8DA-D8F633994D45}" name="Categ_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096F9C-D229-4C31-90E0-D81DADBC98FE}" name="EINV_Itm_Mtble" displayName="EINV_Itm_Mtble" ref="A1:C160" totalsRowShown="0" headerRowDxfId="72" dataDxfId="70" headerRowBorderDxfId="71" tableBorderDxfId="69">
  <autoFilter ref="A1:C160" xr:uid="{A4096F9C-D229-4C31-90E0-D81DADBC98FE}"/>
  <sortState xmlns:xlrd2="http://schemas.microsoft.com/office/spreadsheetml/2017/richdata2" ref="A2:C142">
    <sortCondition ref="C1:C157"/>
  </sortState>
  <tableColumns count="3">
    <tableColumn id="1" xr3:uid="{2CDC07CE-18B8-44B1-ABBC-A98C0B3F01FC}" name="Item_Categ" dataDxfId="68"/>
    <tableColumn id="3" xr3:uid="{40434A9B-4AE4-4CB8-AD0C-25212BBF7657}" name="Item_Cat_ID" dataDxfId="67"/>
    <tableColumn id="2" xr3:uid="{69D19F80-5567-4DB4-8A0C-F77C7902006A}" name="Einvoice Key Code Name " dataDxfId="6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4EB2C9-4960-4AA2-9D68-24B429614446}" name="Net_Itm_Master" displayName="Net_Itm_Master" ref="E2:F15" totalsRowShown="0" headerRowDxfId="65" headerRowBorderDxfId="64" tableBorderDxfId="63" totalsRowBorderDxfId="62">
  <autoFilter ref="E2:F15" xr:uid="{014EB2C9-4960-4AA2-9D68-24B429614446}"/>
  <tableColumns count="2">
    <tableColumn id="1" xr3:uid="{99F56ABB-8F50-4E66-957A-42D0510B029F}" name="Code ID " dataDxfId="61"/>
    <tableColumn id="2" xr3:uid="{F9F5C6DC-542E-460B-8BDD-9F8CECF4D3F2}" name="Item Categorg " data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61DCDB-279A-49BF-8F66-18C8505D7A5A}" name="Bud_Itm_Mtble" displayName="Bud_Itm_Mtble" ref="A1:C176" totalsRowShown="0" headerRowDxfId="59" headerRowBorderDxfId="58" tableBorderDxfId="57">
  <autoFilter ref="A1:C176" xr:uid="{F761DCDB-279A-49BF-8F66-18C8505D7A5A}"/>
  <tableColumns count="3">
    <tableColumn id="1" xr3:uid="{B579BE3A-D041-4D10-B846-650BBC6FEB97}" name="Item_Cat"/>
    <tableColumn id="2" xr3:uid="{AFC5126B-2457-4405-B5AC-A9FDBE7DB469}" name="Item_Cat_ID" dataDxfId="56"/>
    <tableColumn id="3" xr3:uid="{D8DEDA52-2D48-4D02-834C-9526446D8E76}" name="Bud_Item_Des.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5050E8-3C88-4620-B427-9A40FAEC34D7}" name="PNR_Mtble" displayName="PNR_Mtble" ref="A1:O146" totalsRowShown="0">
  <tableColumns count="15">
    <tableColumn id="8" xr3:uid="{AF8D1A95-0F88-4990-92F7-8C397F4D5854}" name="CoCen_Key_ID"/>
    <tableColumn id="1" xr3:uid="{12ED64EC-293B-44F4-BF87-73BF977F2C10}" name="PNR_ID"/>
    <tableColumn id="2" xr3:uid="{9D57B9AF-A0EE-49EE-B9D7-9D73DB2906C6}" name="Client ID"/>
    <tableColumn id="3" xr3:uid="{958E8B89-9531-4AA7-8BC4-3D99AD3CA927}" name="Branch "/>
    <tableColumn id="4" xr3:uid="{CE5CC0BC-C9B1-491D-9F7A-3766729E3453}" name="Event Name -Description" dataDxfId="55"/>
    <tableColumn id="12" xr3:uid="{EE0BAF46-141B-4204-B525-8D9A48C937FB}" name="Start Date "/>
    <tableColumn id="11" xr3:uid="{0DB955D1-C149-4EAD-9486-4B6DF0623F65}" name="End Date"/>
    <tableColumn id="13" xr3:uid="{19CB5769-3E50-46EA-96DF-659AEB38747D}" name="Size"/>
    <tableColumn id="15" xr3:uid="{DCB72939-B2BB-4FC5-915D-71C61A10EE69}" name="Venue"/>
    <tableColumn id="14" xr3:uid="{0670D376-7775-4777-8E1D-65AEF5C7554D}" name="Location"/>
    <tableColumn id="10" xr3:uid="{87F187F4-ECDE-47F7-B18E-A667D2B4796E}" name="Currancy"/>
    <tableColumn id="9" xr3:uid="{B3BB1618-4C44-4B82-BD9F-B4B8B8EB8D52}" name="Total cost"/>
    <tableColumn id="5" xr3:uid="{1C4695AD-C20D-4A60-8F16-A21124E2974B}" name="Customer Name "/>
    <tableColumn id="6" xr3:uid="{C36C1364-5C22-4D1B-A0CD-B7D35301DA61}" name="PO Refrance" dataDxfId="54"/>
    <tableColumn id="7" xr3:uid="{A26C6821-DF73-4B46-B943-F1986307B47E}" name="Electronic Invoice #" dataDxfId="5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F25909-6B12-40BE-A211-517A35E871C1}" name="Sup_Mtbl" displayName="Sup_Mtbl" ref="A1:M176" totalsRowShown="0">
  <autoFilter ref="A1:M176" xr:uid="{BBF25909-6B12-40BE-A211-517A35E871C1}"/>
  <sortState xmlns:xlrd2="http://schemas.microsoft.com/office/spreadsheetml/2017/richdata2" ref="A2:M154">
    <sortCondition ref="A1:A154"/>
  </sortState>
  <tableColumns count="13">
    <tableColumn id="1" xr3:uid="{97895659-56F4-47B5-8A88-1F523F5A00E0}" name="Ven_ID"/>
    <tableColumn id="3" xr3:uid="{2C228998-3AA0-452C-8A2B-DB3B5F0ADF5D}" name="Ven_Subled_Name" dataDxfId="52"/>
    <tableColumn id="2" xr3:uid="{D2847F57-3CA9-4CBA-A84B-CCC4DF437BD5}" name="Sup_Tax_Id" dataDxfId="51"/>
    <tableColumn id="24" xr3:uid="{6CBE1EE1-44D6-4ACB-8620-FD4ED3EA2EC2}" name="Acc_Key"/>
    <tableColumn id="8" xr3:uid="{7DEDF35B-CDE3-4D53-BD14-68139C71212A}" name="Cost Center"/>
    <tableColumn id="4" xr3:uid="{0686E310-0330-44AA-AF96-ECCBEA2E761F}" name="Relationship_Type"/>
    <tableColumn id="5" xr3:uid="{F4ACF4D9-95DB-46FB-86C2-8F7B65B88D06}" name="Contact_Person"/>
    <tableColumn id="6" xr3:uid="{C2416359-2CF6-4CAA-B9DE-4F746F9E581F}" name="Contact_Person_Title"/>
    <tableColumn id="7" xr3:uid="{B4235F4B-AE97-4620-827E-0669420614CB}" name="Contact_Person_Telephone_number"/>
    <tableColumn id="11" xr3:uid="{99ED778F-B169-4AA9-8FD3-861B385E8D34}" name="Beneficiary"/>
    <tableColumn id="12" xr3:uid="{B6022079-DE3E-4ABA-A721-0B44447EF008}" name="Address"/>
    <tableColumn id="13" xr3:uid="{C77DDABA-DEBF-4CF0-A396-19BB9E3445A1}" name="Telephone_Number "/>
    <tableColumn id="14" xr3:uid="{0B9131C9-82B3-4B49-8106-9A24A2B9A481}" name="Email_Addr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31285D-EDFB-4275-AA42-302BAA46C053}" name="Clnt_Mtbl" displayName="Clnt_Mtbl" ref="A1:H51" totalsRowShown="0" headerRowDxfId="50" dataDxfId="48" headerRowBorderDxfId="49" tableBorderDxfId="47">
  <autoFilter ref="A1:H51" xr:uid="{DE31285D-EDFB-4275-AA42-302BAA46C053}"/>
  <sortState xmlns:xlrd2="http://schemas.microsoft.com/office/spreadsheetml/2017/richdata2" ref="A2:H48">
    <sortCondition ref="A1:A48"/>
  </sortState>
  <tableColumns count="8">
    <tableColumn id="1" xr3:uid="{E2F1F65F-3FA1-4FA6-B449-F7194824C352}" name="Clnt_ID" dataDxfId="46"/>
    <tableColumn id="2" xr3:uid="{AAE6154A-2FCE-4AA3-8838-1DE2C520DD9D}" name="Clnt_Subled_Name" dataDxfId="45"/>
    <tableColumn id="9" xr3:uid="{87B87D68-BD01-44F3-9545-F02278791B53}" name="Clnt_Tax_Id" dataDxfId="44"/>
    <tableColumn id="8" xr3:uid="{9940AC77-9BEC-4EC4-9C0D-03D73A85AC10}" name="Acc_Key" dataDxfId="43"/>
    <tableColumn id="3" xr3:uid="{355F4671-A68D-4AFF-A2C8-A7E895F169C8}" name="Client Address " dataDxfId="42"/>
    <tableColumn id="4" xr3:uid="{178F7F62-D1C3-4E94-8454-ED516CA79698}" name="Telephone Number  " dataDxfId="41"/>
    <tableColumn id="5" xr3:uid="{D1F2DAEB-1EEE-4BDE-8D41-B381BE27436B}" name="Contact Person " dataDxfId="40"/>
    <tableColumn id="6" xr3:uid="{12F08A5A-46D4-45F3-A231-63C0610510D3}" name="Email Address" dataDxfId="3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A3C1F5-A40C-4EE1-BB52-37EAB2016802}" name="Own_Mtbl" displayName="Own_Mtbl" ref="A1:E132" totalsRowShown="0">
  <sortState xmlns:xlrd2="http://schemas.microsoft.com/office/spreadsheetml/2017/richdata2" ref="A2:E91">
    <sortCondition ref="A2:A91"/>
  </sortState>
  <tableColumns count="5">
    <tableColumn id="1" xr3:uid="{80CE27A6-FAA0-4BB7-B068-DDF162B6E1CD}" name="Own_ Code "/>
    <tableColumn id="3" xr3:uid="{12D9A373-E62B-4BF7-A6C2-8BB5BC2F8BB2}" name="Own_Subled_Name"/>
    <tableColumn id="9" xr3:uid="{ED53DEBB-EF42-4840-A929-6DBFC5049E22}" name="Acc_Key"/>
    <tableColumn id="2" xr3:uid="{711D30D6-C558-40A6-9792-B7BD72DCF80D}" name="Cost Center"/>
    <tableColumn id="10" xr3:uid="{3492B14F-1F8C-4754-AA85-D2B25742E17E}" name="Exp Account Nam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687E9C6-14AF-4A13-BDB6-C49D17BAE32B}" name="Stff_Mtbl" displayName="Stff_Mtbl" ref="A1:F12" totalsRowShown="0">
  <autoFilter ref="A1:F12" xr:uid="{7687E9C6-14AF-4A13-BDB6-C49D17BAE32B}"/>
  <sortState xmlns:xlrd2="http://schemas.microsoft.com/office/spreadsheetml/2017/richdata2" ref="A2:F8">
    <sortCondition ref="A1:A8"/>
  </sortState>
  <tableColumns count="6">
    <tableColumn id="1" xr3:uid="{05D330AC-0ECD-4474-8E88-83B6EB30F838}" name="Stf_ Code "/>
    <tableColumn id="3" xr3:uid="{43BF1A58-2BDA-41FE-AAB9-95B946C0DC1B}" name="Stff_Subled_Name"/>
    <tableColumn id="2" xr3:uid="{F8165C3C-9A17-40E5-8CD3-3E4D1022CB9C}" name="Cost Center"/>
    <tableColumn id="24" xr3:uid="{1F08CF2B-923E-4D89-A661-7BBBAF2A2C85}" name="Acc_Key"/>
    <tableColumn id="9" xr3:uid="{DC49E823-3D9C-44B2-8D3D-0CEA34B689D5}" name="AP -Account Name"/>
    <tableColumn id="10" xr3:uid="{104AACA7-1CFB-420D-9815-389D9455F228}" name="Exp Account Nam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E4B639E-11AE-4CEF-A9F8-9BB2EBD29323}" name="Inv_Master" displayName="Inv_Master" ref="A1:F527" totalsRowShown="0">
  <sortState xmlns:xlrd2="http://schemas.microsoft.com/office/spreadsheetml/2017/richdata2" ref="A2:F327">
    <sortCondition ref="A1:A327"/>
  </sortState>
  <tableColumns count="6">
    <tableColumn id="2" xr3:uid="{ADC1B492-F55C-430E-9C40-D1D62B2196AD}" name="Einv_Elc_Id"/>
    <tableColumn id="3" xr3:uid="{A9B7F4B3-376B-4E6E-8CE1-5D748F4E155E}" name="التوجية المحاسبي"/>
    <tableColumn id="6" xr3:uid="{8AEE35DA-7F9B-4AC2-B7CD-8409E7ED2817}" name="Acc_Key" dataDxfId="81">
      <calculatedColumnFormula>VLOOKUP(Inv_Master[[#This Row],[التوجية المحاسبي]],'COA_Mtble'!C:D,2,0)</calculatedColumnFormula>
    </tableColumn>
    <tableColumn id="1" xr3:uid="{EC77A7DE-CEB5-4DA1-AE72-A5A13B4E4593}" name="رقم الأقرار الضريبي أ-خالد" dataDxfId="80"/>
    <tableColumn id="4" xr3:uid="{E51FBAE0-B084-441C-9577-62EB9AB9B670}" name="رقم الأقرار الضريبي2"/>
    <tableColumn id="5" xr3:uid="{3D47FA59-4BFB-4BC8-9DA8-6F8F6FEB82E8}" name="مركز التكلفة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A2DC454-A754-47A7-A370-A3873C6DF090}" name="Bud_Pur_Trxtbl" displayName="Bud_Pur_Trxtbl" ref="A1:F176" totalsRowShown="0" headerRowDxfId="38">
  <sortState xmlns:xlrd2="http://schemas.microsoft.com/office/spreadsheetml/2017/richdata2" ref="A2:F176">
    <sortCondition ref="B1:B176"/>
  </sortState>
  <tableColumns count="6">
    <tableColumn id="1" xr3:uid="{8D19CB98-12B9-488B-A564-1B0B5FD9393C}" name="PNR_ID"/>
    <tableColumn id="4" xr3:uid="{1BBEC186-C088-4AC2-848B-CD4ABA13BB50}" name="Assigned to supplier"/>
    <tableColumn id="2" xr3:uid="{A6D3613D-3597-44C8-BBBF-6EE4F95B7F41}" name="Ven_ID" dataDxfId="37"/>
    <tableColumn id="5" xr3:uid="{43FFD28F-8267-45CB-ABE6-38011B13C5FF}" name="Item Des."/>
    <tableColumn id="6" xr3:uid="{632C2746-4D43-4AEE-862B-1F2CBB981E90}" name="Units"/>
    <tableColumn id="7" xr3:uid="{8396E4E8-EC0D-41E3-BF60-28481F5B51F3}" name="no of _x000a_nights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0747C3-5BB8-4F08-A9CD-A79ED9C1C19E}" name="Bud_Sal_Trxtbl" displayName="Bud_Sal_Trxtbl" ref="A1:I176" totalsRowShown="0">
  <tableColumns count="9">
    <tableColumn id="1" xr3:uid="{27CE1307-94BD-4BEB-8C46-F58E9756EFA0}" name="PNR_ID"/>
    <tableColumn id="14" xr3:uid="{D6608190-0E9A-4E0D-BED6-454C3CE62773}" name="Clnt_ID" dataDxfId="36">
      <calculatedColumnFormula>MID(Bud_Sal_Trxtbl[[#This Row],[PNR_ID]],7,5)</calculatedColumnFormula>
    </tableColumn>
    <tableColumn id="5" xr3:uid="{BBFE1852-1865-4D5B-B6E7-68110EC77318}" name="Item Des."/>
    <tableColumn id="6" xr3:uid="{F94DBB59-EBD6-4BDD-8C6E-0F82D2997EA3}" name="Units"/>
    <tableColumn id="7" xr3:uid="{9B3F2E14-FDBF-4466-A356-F78DF307BF7C}" name="no of _x000a_nightsn"/>
    <tableColumn id="8" xr3:uid="{AFEE9C73-A733-45FD-A7B3-681C41CD7FD7}" name="Cost "/>
    <tableColumn id="9" xr3:uid="{0EEB104F-E853-4F2F-8753-62E121C644C7}" name="Gross Budget Sales VAT Included "/>
    <tableColumn id="10" xr3:uid="{26BECD0B-2BFE-4402-830A-1457C95010CA}" name="Currency"/>
    <tableColumn id="11" xr3:uid="{F6716A55-1232-41D3-BAA7-199735D5E4D4}" name="Con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v-lelhadidy@microsoft.com" TargetMode="External"/><Relationship Id="rId13" Type="http://schemas.openxmlformats.org/officeDocument/2006/relationships/hyperlink" Target="mailto:maria.atkinson@uk.delarue.com" TargetMode="External"/><Relationship Id="rId3" Type="http://schemas.openxmlformats.org/officeDocument/2006/relationships/hyperlink" Target="mailto:katerina.cerna@iqstructures.cz;%20&#8206;" TargetMode="External"/><Relationship Id="rId7" Type="http://schemas.openxmlformats.org/officeDocument/2006/relationships/hyperlink" Target="mailto:Ehab13@msn.com" TargetMode="External"/><Relationship Id="rId12" Type="http://schemas.openxmlformats.org/officeDocument/2006/relationships/hyperlink" Target="mailto:erin.jones@metamaterial.com" TargetMode="External"/><Relationship Id="rId17" Type="http://schemas.openxmlformats.org/officeDocument/2006/relationships/table" Target="../tables/table9.xml"/><Relationship Id="rId2" Type="http://schemas.openxmlformats.org/officeDocument/2006/relationships/hyperlink" Target="mailto:weronika@recon-intl.com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mailto:Ehab13@msn.com" TargetMode="External"/><Relationship Id="rId6" Type="http://schemas.openxmlformats.org/officeDocument/2006/relationships/hyperlink" Target="mailto:mostafa.tobbala@cbe.org.eg" TargetMode="External"/><Relationship Id="rId11" Type="http://schemas.openxmlformats.org/officeDocument/2006/relationships/hyperlink" Target="mailto:meri.torniainen@orellfuessli.com" TargetMode="External"/><Relationship Id="rId5" Type="http://schemas.openxmlformats.org/officeDocument/2006/relationships/hyperlink" Target="mailto:michelle.carter@kurz.de" TargetMode="External"/><Relationship Id="rId15" Type="http://schemas.openxmlformats.org/officeDocument/2006/relationships/hyperlink" Target="mailto:nabil.massri@kurmi-software.com" TargetMode="External"/><Relationship Id="rId10" Type="http://schemas.openxmlformats.org/officeDocument/2006/relationships/hyperlink" Target="http://www.oberthur-fiduciaire.com/" TargetMode="External"/><Relationship Id="rId4" Type="http://schemas.openxmlformats.org/officeDocument/2006/relationships/hyperlink" Target="mailto:mehdi.benmebarek@ingroupe.com" TargetMode="External"/><Relationship Id="rId9" Type="http://schemas.openxmlformats.org/officeDocument/2006/relationships/hyperlink" Target="mailto:c.lafont@fcof.com" TargetMode="External"/><Relationship Id="rId14" Type="http://schemas.openxmlformats.org/officeDocument/2006/relationships/hyperlink" Target="mailto:michaela.reichert@gi-de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&#1610;&#1608;&#1606;&#1610;&#1608;@2025" TargetMode="External"/><Relationship Id="rId18" Type="http://schemas.openxmlformats.org/officeDocument/2006/relationships/hyperlink" Target="mailto:&#1610;&#1608;&#1604;&#1610;&#1608;@2025" TargetMode="External"/><Relationship Id="rId26" Type="http://schemas.openxmlformats.org/officeDocument/2006/relationships/hyperlink" Target="mailto:&#1610;&#1608;&#1604;&#1610;&#1608;@2025" TargetMode="External"/><Relationship Id="rId39" Type="http://schemas.openxmlformats.org/officeDocument/2006/relationships/hyperlink" Target="mailto:&#1610;&#1608;&#1604;&#1610;&#1608;@2025" TargetMode="External"/><Relationship Id="rId21" Type="http://schemas.openxmlformats.org/officeDocument/2006/relationships/hyperlink" Target="mailto:&#1610;&#1608;&#1604;&#1610;&#1608;@2025" TargetMode="External"/><Relationship Id="rId34" Type="http://schemas.openxmlformats.org/officeDocument/2006/relationships/hyperlink" Target="mailto:&#1610;&#1608;&#1604;&#1610;&#1608;@2025" TargetMode="External"/><Relationship Id="rId42" Type="http://schemas.openxmlformats.org/officeDocument/2006/relationships/hyperlink" Target="mailto:&#1610;&#1608;&#1604;&#1610;&#1608;@2025" TargetMode="External"/><Relationship Id="rId7" Type="http://schemas.openxmlformats.org/officeDocument/2006/relationships/hyperlink" Target="mailto:&#1610;&#1608;&#1606;&#1610;&#1608;@2025" TargetMode="External"/><Relationship Id="rId2" Type="http://schemas.openxmlformats.org/officeDocument/2006/relationships/hyperlink" Target="mailto:&#1610;&#1608;&#1606;&#1610;&#1608;@2025" TargetMode="External"/><Relationship Id="rId16" Type="http://schemas.openxmlformats.org/officeDocument/2006/relationships/hyperlink" Target="mailto:&#1610;&#1608;&#1604;&#1610;&#1608;@2025" TargetMode="External"/><Relationship Id="rId20" Type="http://schemas.openxmlformats.org/officeDocument/2006/relationships/hyperlink" Target="mailto:&#1610;&#1608;&#1604;&#1610;&#1608;@2025" TargetMode="External"/><Relationship Id="rId29" Type="http://schemas.openxmlformats.org/officeDocument/2006/relationships/hyperlink" Target="mailto:&#1610;&#1608;&#1604;&#1610;&#1608;@2025" TargetMode="External"/><Relationship Id="rId41" Type="http://schemas.openxmlformats.org/officeDocument/2006/relationships/hyperlink" Target="mailto:&#1610;&#1608;&#1604;&#1610;&#1608;@2025" TargetMode="External"/><Relationship Id="rId1" Type="http://schemas.openxmlformats.org/officeDocument/2006/relationships/hyperlink" Target="mailto:&#1610;&#1608;&#1606;&#1610;&#1608;@2025" TargetMode="External"/><Relationship Id="rId6" Type="http://schemas.openxmlformats.org/officeDocument/2006/relationships/hyperlink" Target="mailto:&#1610;&#1608;&#1606;&#1610;&#1608;@2025" TargetMode="External"/><Relationship Id="rId11" Type="http://schemas.openxmlformats.org/officeDocument/2006/relationships/hyperlink" Target="mailto:&#1610;&#1608;&#1606;&#1610;&#1608;@2025" TargetMode="External"/><Relationship Id="rId24" Type="http://schemas.openxmlformats.org/officeDocument/2006/relationships/hyperlink" Target="mailto:&#1610;&#1608;&#1604;&#1610;&#1608;@2025" TargetMode="External"/><Relationship Id="rId32" Type="http://schemas.openxmlformats.org/officeDocument/2006/relationships/hyperlink" Target="mailto:&#1610;&#1608;&#1604;&#1610;&#1608;@2025" TargetMode="External"/><Relationship Id="rId37" Type="http://schemas.openxmlformats.org/officeDocument/2006/relationships/hyperlink" Target="mailto:&#1610;&#1608;&#1604;&#1610;&#1608;@2025" TargetMode="External"/><Relationship Id="rId40" Type="http://schemas.openxmlformats.org/officeDocument/2006/relationships/hyperlink" Target="mailto:&#1610;&#1608;&#1604;&#1610;&#1608;@2025" TargetMode="External"/><Relationship Id="rId5" Type="http://schemas.openxmlformats.org/officeDocument/2006/relationships/hyperlink" Target="mailto:&#1610;&#1608;&#1606;&#1610;&#1608;@2025" TargetMode="External"/><Relationship Id="rId15" Type="http://schemas.openxmlformats.org/officeDocument/2006/relationships/hyperlink" Target="mailto:&#1610;&#1608;&#1606;&#1610;&#1608;@2025" TargetMode="External"/><Relationship Id="rId23" Type="http://schemas.openxmlformats.org/officeDocument/2006/relationships/hyperlink" Target="mailto:&#1610;&#1608;&#1604;&#1610;&#1608;@2025" TargetMode="External"/><Relationship Id="rId28" Type="http://schemas.openxmlformats.org/officeDocument/2006/relationships/hyperlink" Target="mailto:&#1610;&#1608;&#1604;&#1610;&#1608;@2025" TargetMode="External"/><Relationship Id="rId36" Type="http://schemas.openxmlformats.org/officeDocument/2006/relationships/hyperlink" Target="mailto:&#1610;&#1608;&#1604;&#1610;&#1608;@2025" TargetMode="External"/><Relationship Id="rId10" Type="http://schemas.openxmlformats.org/officeDocument/2006/relationships/hyperlink" Target="mailto:&#1610;&#1608;&#1606;&#1610;&#1608;@2025" TargetMode="External"/><Relationship Id="rId19" Type="http://schemas.openxmlformats.org/officeDocument/2006/relationships/hyperlink" Target="mailto:&#1610;&#1608;&#1604;&#1610;&#1608;@2025" TargetMode="External"/><Relationship Id="rId31" Type="http://schemas.openxmlformats.org/officeDocument/2006/relationships/hyperlink" Target="mailto:&#1610;&#1608;&#1604;&#1610;&#1608;@2025" TargetMode="External"/><Relationship Id="rId44" Type="http://schemas.openxmlformats.org/officeDocument/2006/relationships/table" Target="../tables/table12.xml"/><Relationship Id="rId4" Type="http://schemas.openxmlformats.org/officeDocument/2006/relationships/hyperlink" Target="mailto:&#1610;&#1608;&#1606;&#1610;&#1608;@2025" TargetMode="External"/><Relationship Id="rId9" Type="http://schemas.openxmlformats.org/officeDocument/2006/relationships/hyperlink" Target="mailto:&#1610;&#1608;&#1606;&#1610;&#1608;@2025" TargetMode="External"/><Relationship Id="rId14" Type="http://schemas.openxmlformats.org/officeDocument/2006/relationships/hyperlink" Target="mailto:&#1610;&#1608;&#1606;&#1610;&#1608;@2025" TargetMode="External"/><Relationship Id="rId22" Type="http://schemas.openxmlformats.org/officeDocument/2006/relationships/hyperlink" Target="mailto:&#1610;&#1608;&#1604;&#1610;&#1608;@2025" TargetMode="External"/><Relationship Id="rId27" Type="http://schemas.openxmlformats.org/officeDocument/2006/relationships/hyperlink" Target="mailto:&#1610;&#1608;&#1604;&#1610;&#1608;@2025" TargetMode="External"/><Relationship Id="rId30" Type="http://schemas.openxmlformats.org/officeDocument/2006/relationships/hyperlink" Target="mailto:&#1610;&#1608;&#1604;&#1610;&#1608;@2025" TargetMode="External"/><Relationship Id="rId35" Type="http://schemas.openxmlformats.org/officeDocument/2006/relationships/hyperlink" Target="mailto:&#1610;&#1608;&#1604;&#1610;&#1608;@2025" TargetMode="External"/><Relationship Id="rId43" Type="http://schemas.openxmlformats.org/officeDocument/2006/relationships/hyperlink" Target="mailto:&#1610;&#1608;&#1604;&#1610;&#1608;@2025" TargetMode="External"/><Relationship Id="rId8" Type="http://schemas.openxmlformats.org/officeDocument/2006/relationships/hyperlink" Target="mailto:&#1610;&#1608;&#1606;&#1610;&#1608;@2025" TargetMode="External"/><Relationship Id="rId3" Type="http://schemas.openxmlformats.org/officeDocument/2006/relationships/hyperlink" Target="mailto:&#1610;&#1608;&#1606;&#1610;&#1608;@2025" TargetMode="External"/><Relationship Id="rId12" Type="http://schemas.openxmlformats.org/officeDocument/2006/relationships/hyperlink" Target="mailto:&#1610;&#1608;&#1606;&#1610;&#1608;@2025" TargetMode="External"/><Relationship Id="rId17" Type="http://schemas.openxmlformats.org/officeDocument/2006/relationships/hyperlink" Target="mailto:&#1610;&#1608;&#1604;&#1610;&#1608;@2025" TargetMode="External"/><Relationship Id="rId25" Type="http://schemas.openxmlformats.org/officeDocument/2006/relationships/hyperlink" Target="mailto:&#1610;&#1608;&#1604;&#1610;&#1608;@2025" TargetMode="External"/><Relationship Id="rId33" Type="http://schemas.openxmlformats.org/officeDocument/2006/relationships/hyperlink" Target="mailto:&#1610;&#1608;&#1604;&#1610;&#1608;@2025" TargetMode="External"/><Relationship Id="rId38" Type="http://schemas.openxmlformats.org/officeDocument/2006/relationships/hyperlink" Target="mailto:&#1610;&#1608;&#1604;&#1610;&#1608;@202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0AF3-F6DF-4399-8CA1-21410FFF669B}">
  <dimension ref="B2:E10"/>
  <sheetViews>
    <sheetView workbookViewId="0">
      <selection activeCell="E8" sqref="E8"/>
    </sheetView>
  </sheetViews>
  <sheetFormatPr defaultRowHeight="15"/>
  <cols>
    <col min="2" max="2" width="12.42578125" bestFit="1" customWidth="1"/>
    <col min="3" max="3" width="21" bestFit="1" customWidth="1"/>
    <col min="4" max="4" width="25" bestFit="1" customWidth="1"/>
    <col min="5" max="5" width="16.85546875" bestFit="1" customWidth="1"/>
    <col min="6" max="6" width="13.42578125" customWidth="1"/>
  </cols>
  <sheetData>
    <row r="2" spans="2:5">
      <c r="B2" t="s">
        <v>356</v>
      </c>
      <c r="C2" s="6" t="s">
        <v>459</v>
      </c>
      <c r="D2" s="6" t="s">
        <v>458</v>
      </c>
      <c r="E2" t="s">
        <v>457</v>
      </c>
    </row>
    <row r="3" spans="2:5">
      <c r="B3">
        <v>1</v>
      </c>
      <c r="C3" t="s">
        <v>456</v>
      </c>
      <c r="D3" t="s">
        <v>455</v>
      </c>
      <c r="E3" t="s">
        <v>446</v>
      </c>
    </row>
    <row r="4" spans="2:5">
      <c r="B4">
        <v>2</v>
      </c>
      <c r="C4" t="s">
        <v>454</v>
      </c>
      <c r="D4" t="s">
        <v>453</v>
      </c>
      <c r="E4" t="s">
        <v>446</v>
      </c>
    </row>
    <row r="5" spans="2:5">
      <c r="B5">
        <v>3</v>
      </c>
      <c r="C5" t="s">
        <v>452</v>
      </c>
      <c r="D5" t="s">
        <v>451</v>
      </c>
      <c r="E5" t="s">
        <v>446</v>
      </c>
    </row>
    <row r="6" spans="2:5">
      <c r="B6">
        <v>4</v>
      </c>
      <c r="C6" t="s">
        <v>450</v>
      </c>
      <c r="D6" t="s">
        <v>449</v>
      </c>
      <c r="E6" t="s">
        <v>446</v>
      </c>
    </row>
    <row r="7" spans="2:5">
      <c r="B7">
        <v>5</v>
      </c>
      <c r="C7" t="s">
        <v>448</v>
      </c>
      <c r="D7" t="s">
        <v>447</v>
      </c>
      <c r="E7" t="s">
        <v>446</v>
      </c>
    </row>
    <row r="8" spans="2:5">
      <c r="B8">
        <v>6</v>
      </c>
      <c r="C8" t="s">
        <v>445</v>
      </c>
      <c r="D8" t="s">
        <v>444</v>
      </c>
      <c r="E8" t="s">
        <v>439</v>
      </c>
    </row>
    <row r="9" spans="2:5">
      <c r="B9">
        <v>7</v>
      </c>
      <c r="C9" t="s">
        <v>443</v>
      </c>
      <c r="D9" t="s">
        <v>442</v>
      </c>
      <c r="E9" t="s">
        <v>439</v>
      </c>
    </row>
    <row r="10" spans="2:5">
      <c r="B10">
        <v>8</v>
      </c>
      <c r="C10" t="s">
        <v>441</v>
      </c>
      <c r="D10" t="s">
        <v>440</v>
      </c>
      <c r="E10" t="s">
        <v>439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D5A8-395B-4045-BB65-F291DE812B88}">
  <dimension ref="A1:F21"/>
  <sheetViews>
    <sheetView zoomScale="85" zoomScaleNormal="85" workbookViewId="0">
      <selection activeCell="D11" sqref="D11"/>
    </sheetView>
  </sheetViews>
  <sheetFormatPr defaultRowHeight="15"/>
  <cols>
    <col min="1" max="1" width="11.85546875" bestFit="1" customWidth="1"/>
    <col min="2" max="2" width="24.28515625" bestFit="1" customWidth="1"/>
    <col min="3" max="3" width="64.140625" bestFit="1" customWidth="1"/>
    <col min="4" max="4" width="14" bestFit="1" customWidth="1"/>
    <col min="5" max="5" width="14.28515625" bestFit="1" customWidth="1"/>
    <col min="6" max="8" width="70.85546875" bestFit="1" customWidth="1"/>
  </cols>
  <sheetData>
    <row r="1" spans="1:6">
      <c r="A1" s="1" t="s">
        <v>0</v>
      </c>
      <c r="B1" s="1" t="s">
        <v>2251</v>
      </c>
      <c r="C1" s="1" t="s">
        <v>38</v>
      </c>
      <c r="D1" t="s">
        <v>2253</v>
      </c>
      <c r="E1" t="s">
        <v>2254</v>
      </c>
      <c r="F1" s="4" t="s">
        <v>2255</v>
      </c>
    </row>
    <row r="2" spans="1:6">
      <c r="A2" s="79">
        <v>1</v>
      </c>
      <c r="B2" s="80" t="s">
        <v>2248</v>
      </c>
      <c r="C2" t="s">
        <v>2</v>
      </c>
      <c r="D2">
        <v>18</v>
      </c>
      <c r="E2">
        <v>27</v>
      </c>
    </row>
    <row r="3" spans="1:6">
      <c r="A3" s="79">
        <v>2</v>
      </c>
      <c r="B3" t="s">
        <v>2246</v>
      </c>
      <c r="C3" s="2" t="s">
        <v>4</v>
      </c>
      <c r="D3">
        <v>18</v>
      </c>
      <c r="E3" s="2">
        <v>21</v>
      </c>
    </row>
    <row r="4" spans="1:6">
      <c r="A4" s="79">
        <v>3</v>
      </c>
      <c r="B4" s="80" t="s">
        <v>2249</v>
      </c>
      <c r="C4" t="s">
        <v>6</v>
      </c>
      <c r="D4">
        <v>18</v>
      </c>
      <c r="E4">
        <v>28</v>
      </c>
    </row>
    <row r="5" spans="1:6">
      <c r="A5" s="79">
        <v>4</v>
      </c>
      <c r="B5" t="s">
        <v>2249</v>
      </c>
      <c r="C5" t="s">
        <v>8</v>
      </c>
      <c r="D5">
        <v>18</v>
      </c>
      <c r="E5">
        <v>24</v>
      </c>
    </row>
    <row r="6" spans="1:6">
      <c r="A6" s="79">
        <v>5</v>
      </c>
      <c r="B6" t="s">
        <v>2249</v>
      </c>
      <c r="C6" t="s">
        <v>10</v>
      </c>
      <c r="D6">
        <v>18</v>
      </c>
      <c r="E6">
        <v>25</v>
      </c>
    </row>
    <row r="7" spans="1:6">
      <c r="A7" s="79">
        <v>6</v>
      </c>
      <c r="B7" t="s">
        <v>2249</v>
      </c>
      <c r="C7" t="s">
        <v>12</v>
      </c>
      <c r="D7">
        <v>18</v>
      </c>
      <c r="E7">
        <v>29</v>
      </c>
    </row>
    <row r="8" spans="1:6">
      <c r="A8" s="79">
        <v>7</v>
      </c>
      <c r="B8" t="s">
        <v>2249</v>
      </c>
      <c r="C8" t="s">
        <v>14</v>
      </c>
      <c r="D8">
        <v>18</v>
      </c>
      <c r="E8">
        <v>26</v>
      </c>
    </row>
    <row r="9" spans="1:6">
      <c r="A9" s="79">
        <v>8</v>
      </c>
      <c r="B9" s="80" t="s">
        <v>2248</v>
      </c>
      <c r="C9" t="s">
        <v>16</v>
      </c>
      <c r="D9">
        <v>18</v>
      </c>
      <c r="E9">
        <v>18</v>
      </c>
    </row>
    <row r="10" spans="1:6">
      <c r="A10" s="79">
        <v>9</v>
      </c>
      <c r="B10" s="80" t="s">
        <v>2250</v>
      </c>
      <c r="C10" t="s">
        <v>18</v>
      </c>
      <c r="D10">
        <v>18</v>
      </c>
      <c r="E10">
        <v>20</v>
      </c>
    </row>
    <row r="11" spans="1:6">
      <c r="A11" s="79">
        <v>10</v>
      </c>
      <c r="B11" t="s">
        <v>2247</v>
      </c>
      <c r="C11" t="s">
        <v>20</v>
      </c>
      <c r="D11">
        <v>18</v>
      </c>
      <c r="E11">
        <v>22</v>
      </c>
    </row>
    <row r="12" spans="1:6">
      <c r="A12" s="79">
        <v>11</v>
      </c>
      <c r="B12" t="s">
        <v>2247</v>
      </c>
      <c r="C12" t="s">
        <v>22</v>
      </c>
      <c r="D12">
        <v>18</v>
      </c>
      <c r="E12">
        <v>22</v>
      </c>
    </row>
    <row r="13" spans="1:6">
      <c r="A13" s="79">
        <v>12</v>
      </c>
      <c r="B13" t="s">
        <v>2247</v>
      </c>
      <c r="C13" t="s">
        <v>24</v>
      </c>
      <c r="D13">
        <v>18</v>
      </c>
      <c r="E13">
        <v>28</v>
      </c>
    </row>
    <row r="14" spans="1:6">
      <c r="A14" s="79">
        <v>13</v>
      </c>
      <c r="B14" t="s">
        <v>2249</v>
      </c>
      <c r="C14" t="s">
        <v>26</v>
      </c>
      <c r="D14">
        <v>18</v>
      </c>
      <c r="E14">
        <v>28</v>
      </c>
    </row>
    <row r="15" spans="1:6">
      <c r="A15" s="79">
        <v>14</v>
      </c>
      <c r="B15" t="s">
        <v>2249</v>
      </c>
      <c r="C15" t="s">
        <v>28</v>
      </c>
      <c r="D15">
        <v>18</v>
      </c>
      <c r="E15">
        <v>29</v>
      </c>
    </row>
    <row r="16" spans="1:6">
      <c r="A16" s="79">
        <v>15</v>
      </c>
      <c r="B16" t="s">
        <v>2250</v>
      </c>
      <c r="C16" t="s">
        <v>30</v>
      </c>
      <c r="D16">
        <v>18</v>
      </c>
      <c r="E16">
        <v>20</v>
      </c>
    </row>
    <row r="17" spans="1:5">
      <c r="A17" s="79">
        <v>16</v>
      </c>
      <c r="B17" t="s">
        <v>2249</v>
      </c>
      <c r="C17" t="s">
        <v>32</v>
      </c>
      <c r="D17">
        <v>18</v>
      </c>
      <c r="E17">
        <v>32</v>
      </c>
    </row>
    <row r="18" spans="1:5">
      <c r="A18" s="79">
        <v>17</v>
      </c>
      <c r="B18" t="s">
        <v>2250</v>
      </c>
      <c r="C18" t="s">
        <v>34</v>
      </c>
      <c r="D18">
        <v>18</v>
      </c>
      <c r="E18">
        <v>23</v>
      </c>
    </row>
    <row r="19" spans="1:5">
      <c r="A19" s="79">
        <v>18</v>
      </c>
      <c r="B19" s="80" t="s">
        <v>2252</v>
      </c>
      <c r="C19" t="s">
        <v>36</v>
      </c>
      <c r="D19">
        <v>18</v>
      </c>
      <c r="E19">
        <v>38</v>
      </c>
    </row>
    <row r="20" spans="1:5">
      <c r="A20" s="79">
        <v>19</v>
      </c>
      <c r="B20" s="80" t="s">
        <v>2252</v>
      </c>
      <c r="C20" t="s">
        <v>37</v>
      </c>
      <c r="D20">
        <v>18</v>
      </c>
      <c r="E20">
        <v>37</v>
      </c>
    </row>
    <row r="21" spans="1:5">
      <c r="A21" s="79">
        <v>20</v>
      </c>
      <c r="B21" s="80" t="s">
        <v>2252</v>
      </c>
      <c r="C21" t="s">
        <v>197</v>
      </c>
      <c r="D21">
        <v>18</v>
      </c>
      <c r="E21">
        <v>33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806E-A8A2-4FBB-9D71-D540810B72EC}">
  <sheetPr>
    <tabColor theme="8" tint="0.59999389629810485"/>
  </sheetPr>
  <dimension ref="B2:E45"/>
  <sheetViews>
    <sheetView workbookViewId="0">
      <selection activeCell="B6" sqref="B6:C6"/>
    </sheetView>
  </sheetViews>
  <sheetFormatPr defaultRowHeight="15"/>
  <cols>
    <col min="2" max="2" width="45.28515625" bestFit="1" customWidth="1"/>
    <col min="3" max="3" width="64.85546875" bestFit="1" customWidth="1"/>
    <col min="4" max="4" width="8.7109375" bestFit="1" customWidth="1"/>
    <col min="6" max="6" width="12.5703125" bestFit="1" customWidth="1"/>
    <col min="7" max="7" width="12.42578125" bestFit="1" customWidth="1"/>
  </cols>
  <sheetData>
    <row r="2" spans="2:5">
      <c r="B2" t="s">
        <v>354</v>
      </c>
      <c r="C2" t="s">
        <v>355</v>
      </c>
      <c r="D2" t="s">
        <v>353</v>
      </c>
      <c r="E2" t="s">
        <v>356</v>
      </c>
    </row>
    <row r="3" spans="2:5">
      <c r="B3" t="s">
        <v>357</v>
      </c>
      <c r="C3" t="s">
        <v>358</v>
      </c>
      <c r="D3">
        <v>1</v>
      </c>
      <c r="E3">
        <v>1</v>
      </c>
    </row>
    <row r="4" spans="2:5">
      <c r="B4" t="s">
        <v>359</v>
      </c>
      <c r="C4" t="s">
        <v>360</v>
      </c>
      <c r="D4">
        <v>2</v>
      </c>
      <c r="E4">
        <v>1</v>
      </c>
    </row>
    <row r="5" spans="2:5">
      <c r="B5" t="s">
        <v>361</v>
      </c>
      <c r="C5" t="s">
        <v>362</v>
      </c>
      <c r="D5">
        <v>3</v>
      </c>
      <c r="E5">
        <v>1</v>
      </c>
    </row>
    <row r="6" spans="2:5">
      <c r="B6" t="s">
        <v>363</v>
      </c>
      <c r="C6" t="s">
        <v>364</v>
      </c>
      <c r="D6">
        <v>4</v>
      </c>
      <c r="E6">
        <v>2</v>
      </c>
    </row>
    <row r="7" spans="2:5">
      <c r="B7" t="s">
        <v>365</v>
      </c>
      <c r="C7" t="s">
        <v>366</v>
      </c>
      <c r="D7">
        <v>5</v>
      </c>
      <c r="E7">
        <v>2</v>
      </c>
    </row>
    <row r="8" spans="2:5">
      <c r="B8" t="s">
        <v>367</v>
      </c>
      <c r="C8" t="s">
        <v>368</v>
      </c>
      <c r="D8">
        <v>6</v>
      </c>
      <c r="E8">
        <v>2</v>
      </c>
    </row>
    <row r="9" spans="2:5">
      <c r="B9" t="s">
        <v>369</v>
      </c>
      <c r="C9" t="s">
        <v>370</v>
      </c>
      <c r="D9">
        <v>7</v>
      </c>
      <c r="E9">
        <v>2</v>
      </c>
    </row>
    <row r="10" spans="2:5">
      <c r="B10" t="s">
        <v>371</v>
      </c>
      <c r="C10" t="s">
        <v>372</v>
      </c>
      <c r="D10">
        <v>8</v>
      </c>
      <c r="E10">
        <v>2</v>
      </c>
    </row>
    <row r="11" spans="2:5">
      <c r="B11" t="s">
        <v>373</v>
      </c>
      <c r="C11" t="s">
        <v>374</v>
      </c>
      <c r="D11">
        <v>9</v>
      </c>
      <c r="E11">
        <v>2</v>
      </c>
    </row>
    <row r="12" spans="2:5">
      <c r="B12" t="s">
        <v>1602</v>
      </c>
      <c r="C12" t="s">
        <v>1601</v>
      </c>
      <c r="D12">
        <v>43</v>
      </c>
      <c r="E12">
        <v>3</v>
      </c>
    </row>
    <row r="13" spans="2:5">
      <c r="B13" t="s">
        <v>375</v>
      </c>
      <c r="C13" t="s">
        <v>376</v>
      </c>
      <c r="D13">
        <v>10</v>
      </c>
      <c r="E13">
        <v>3</v>
      </c>
    </row>
    <row r="14" spans="2:5">
      <c r="B14" t="s">
        <v>377</v>
      </c>
      <c r="C14" t="s">
        <v>378</v>
      </c>
      <c r="D14">
        <v>11</v>
      </c>
      <c r="E14">
        <v>3</v>
      </c>
    </row>
    <row r="15" spans="2:5">
      <c r="B15" t="s">
        <v>379</v>
      </c>
      <c r="C15" t="s">
        <v>380</v>
      </c>
      <c r="D15">
        <v>12</v>
      </c>
      <c r="E15">
        <v>4</v>
      </c>
    </row>
    <row r="16" spans="2:5">
      <c r="B16" t="s">
        <v>381</v>
      </c>
      <c r="C16" t="s">
        <v>382</v>
      </c>
      <c r="D16">
        <v>13</v>
      </c>
      <c r="E16">
        <v>4</v>
      </c>
    </row>
    <row r="17" spans="2:5">
      <c r="B17" t="s">
        <v>383</v>
      </c>
      <c r="C17" t="s">
        <v>384</v>
      </c>
      <c r="D17">
        <v>14</v>
      </c>
      <c r="E17">
        <v>4</v>
      </c>
    </row>
    <row r="18" spans="2:5">
      <c r="B18" t="s">
        <v>385</v>
      </c>
      <c r="C18" t="s">
        <v>386</v>
      </c>
      <c r="D18">
        <v>15</v>
      </c>
      <c r="E18">
        <v>5</v>
      </c>
    </row>
    <row r="19" spans="2:5">
      <c r="B19" t="s">
        <v>387</v>
      </c>
      <c r="C19" t="s">
        <v>388</v>
      </c>
      <c r="D19">
        <v>16</v>
      </c>
      <c r="E19">
        <v>5</v>
      </c>
    </row>
    <row r="20" spans="2:5">
      <c r="B20" t="s">
        <v>389</v>
      </c>
      <c r="C20" t="s">
        <v>390</v>
      </c>
      <c r="D20">
        <v>17</v>
      </c>
      <c r="E20">
        <v>5</v>
      </c>
    </row>
    <row r="21" spans="2:5">
      <c r="B21" t="s">
        <v>391</v>
      </c>
      <c r="C21" t="s">
        <v>392</v>
      </c>
      <c r="D21">
        <v>18</v>
      </c>
      <c r="E21">
        <v>6</v>
      </c>
    </row>
    <row r="22" spans="2:5">
      <c r="B22" t="s">
        <v>393</v>
      </c>
      <c r="C22" t="s">
        <v>394</v>
      </c>
      <c r="D22">
        <v>19</v>
      </c>
      <c r="E22">
        <v>6</v>
      </c>
    </row>
    <row r="23" spans="2:5">
      <c r="B23" t="s">
        <v>395</v>
      </c>
      <c r="C23" t="s">
        <v>396</v>
      </c>
      <c r="D23">
        <v>20</v>
      </c>
      <c r="E23">
        <v>7</v>
      </c>
    </row>
    <row r="24" spans="2:5">
      <c r="B24" t="s">
        <v>397</v>
      </c>
      <c r="C24" t="s">
        <v>398</v>
      </c>
      <c r="D24">
        <v>21</v>
      </c>
      <c r="E24">
        <v>7</v>
      </c>
    </row>
    <row r="25" spans="2:5">
      <c r="B25" t="s">
        <v>399</v>
      </c>
      <c r="C25" t="s">
        <v>400</v>
      </c>
      <c r="D25">
        <v>22</v>
      </c>
      <c r="E25">
        <v>7</v>
      </c>
    </row>
    <row r="26" spans="2:5">
      <c r="B26" t="s">
        <v>401</v>
      </c>
      <c r="C26" t="s">
        <v>402</v>
      </c>
      <c r="D26">
        <v>23</v>
      </c>
      <c r="E26">
        <v>7</v>
      </c>
    </row>
    <row r="27" spans="2:5">
      <c r="B27" t="s">
        <v>403</v>
      </c>
      <c r="C27" t="s">
        <v>404</v>
      </c>
      <c r="D27">
        <v>24</v>
      </c>
      <c r="E27">
        <v>7</v>
      </c>
    </row>
    <row r="28" spans="2:5">
      <c r="B28" t="s">
        <v>405</v>
      </c>
      <c r="C28" t="s">
        <v>406</v>
      </c>
      <c r="D28">
        <v>25</v>
      </c>
      <c r="E28">
        <v>7</v>
      </c>
    </row>
    <row r="29" spans="2:5">
      <c r="B29" t="s">
        <v>407</v>
      </c>
      <c r="C29" t="s">
        <v>408</v>
      </c>
      <c r="D29">
        <v>26</v>
      </c>
      <c r="E29">
        <v>7</v>
      </c>
    </row>
    <row r="30" spans="2:5">
      <c r="B30" t="s">
        <v>409</v>
      </c>
      <c r="C30" t="s">
        <v>410</v>
      </c>
      <c r="D30">
        <v>27</v>
      </c>
      <c r="E30">
        <v>7</v>
      </c>
    </row>
    <row r="31" spans="2:5">
      <c r="B31" t="s">
        <v>411</v>
      </c>
      <c r="C31" t="s">
        <v>412</v>
      </c>
      <c r="D31">
        <v>28</v>
      </c>
      <c r="E31">
        <v>7</v>
      </c>
    </row>
    <row r="32" spans="2:5">
      <c r="B32" t="s">
        <v>413</v>
      </c>
      <c r="C32" t="s">
        <v>414</v>
      </c>
      <c r="D32">
        <v>29</v>
      </c>
      <c r="E32">
        <v>7</v>
      </c>
    </row>
    <row r="33" spans="2:5">
      <c r="B33" t="s">
        <v>415</v>
      </c>
      <c r="C33" t="s">
        <v>416</v>
      </c>
      <c r="D33">
        <v>30</v>
      </c>
      <c r="E33">
        <v>8</v>
      </c>
    </row>
    <row r="34" spans="2:5">
      <c r="B34" t="s">
        <v>417</v>
      </c>
      <c r="C34" t="s">
        <v>418</v>
      </c>
      <c r="D34">
        <v>31</v>
      </c>
      <c r="E34">
        <v>8</v>
      </c>
    </row>
    <row r="35" spans="2:5">
      <c r="B35" t="s">
        <v>419</v>
      </c>
      <c r="C35" t="s">
        <v>420</v>
      </c>
      <c r="D35">
        <v>32</v>
      </c>
      <c r="E35">
        <v>8</v>
      </c>
    </row>
    <row r="36" spans="2:5">
      <c r="B36" t="s">
        <v>421</v>
      </c>
      <c r="C36" t="s">
        <v>422</v>
      </c>
      <c r="D36">
        <v>33</v>
      </c>
      <c r="E36">
        <v>8</v>
      </c>
    </row>
    <row r="37" spans="2:5">
      <c r="B37" t="s">
        <v>423</v>
      </c>
      <c r="C37" t="s">
        <v>424</v>
      </c>
      <c r="D37">
        <v>34</v>
      </c>
      <c r="E37">
        <v>8</v>
      </c>
    </row>
    <row r="38" spans="2:5">
      <c r="B38" t="s">
        <v>425</v>
      </c>
      <c r="C38" t="s">
        <v>426</v>
      </c>
      <c r="D38">
        <v>35</v>
      </c>
      <c r="E38">
        <v>8</v>
      </c>
    </row>
    <row r="39" spans="2:5">
      <c r="B39" t="s">
        <v>427</v>
      </c>
      <c r="C39" t="s">
        <v>428</v>
      </c>
      <c r="D39">
        <v>36</v>
      </c>
      <c r="E39">
        <v>8</v>
      </c>
    </row>
    <row r="40" spans="2:5">
      <c r="B40" t="s">
        <v>429</v>
      </c>
      <c r="C40" t="s">
        <v>430</v>
      </c>
      <c r="D40">
        <v>37</v>
      </c>
      <c r="E40">
        <v>8</v>
      </c>
    </row>
    <row r="41" spans="2:5">
      <c r="B41" t="s">
        <v>431</v>
      </c>
      <c r="C41" t="s">
        <v>432</v>
      </c>
      <c r="D41">
        <v>38</v>
      </c>
      <c r="E41">
        <v>8</v>
      </c>
    </row>
    <row r="42" spans="2:5">
      <c r="B42" t="s">
        <v>433</v>
      </c>
      <c r="C42" t="s">
        <v>434</v>
      </c>
      <c r="D42">
        <v>39</v>
      </c>
      <c r="E42">
        <v>8</v>
      </c>
    </row>
    <row r="43" spans="2:5">
      <c r="B43" t="s">
        <v>435</v>
      </c>
      <c r="C43" t="s">
        <v>436</v>
      </c>
      <c r="D43">
        <v>40</v>
      </c>
      <c r="E43">
        <v>8</v>
      </c>
    </row>
    <row r="44" spans="2:5">
      <c r="B44" t="s">
        <v>437</v>
      </c>
      <c r="C44" t="s">
        <v>438</v>
      </c>
      <c r="D44">
        <v>41</v>
      </c>
      <c r="E44">
        <v>8</v>
      </c>
    </row>
    <row r="45" spans="2:5">
      <c r="B45" t="s">
        <v>1077</v>
      </c>
      <c r="C45" t="s">
        <v>1076</v>
      </c>
      <c r="D45">
        <v>42</v>
      </c>
      <c r="E45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7C83-64B1-464C-A2D2-9F2A10B82AA5}">
  <sheetPr>
    <tabColor theme="8" tint="0.59999389629810485"/>
  </sheetPr>
  <dimension ref="A1:F160"/>
  <sheetViews>
    <sheetView workbookViewId="0">
      <selection activeCell="E3" sqref="E3:F15"/>
    </sheetView>
  </sheetViews>
  <sheetFormatPr defaultRowHeight="15"/>
  <cols>
    <col min="1" max="1" width="13.28515625" bestFit="1" customWidth="1"/>
    <col min="2" max="2" width="11.85546875" bestFit="1" customWidth="1"/>
    <col min="3" max="3" width="46.28515625" bestFit="1" customWidth="1"/>
    <col min="5" max="5" width="11.85546875" customWidth="1"/>
    <col min="6" max="6" width="49.140625" bestFit="1" customWidth="1"/>
  </cols>
  <sheetData>
    <row r="1" spans="1:6">
      <c r="A1" s="4" t="s">
        <v>38</v>
      </c>
      <c r="B1" s="1" t="s">
        <v>0</v>
      </c>
      <c r="C1" s="4" t="s">
        <v>39</v>
      </c>
    </row>
    <row r="2" spans="1:6">
      <c r="A2" s="2" t="s">
        <v>3</v>
      </c>
      <c r="B2" s="2">
        <v>2</v>
      </c>
      <c r="C2" s="2" t="s">
        <v>40</v>
      </c>
      <c r="E2" s="76" t="s">
        <v>2226</v>
      </c>
      <c r="F2" s="76" t="s">
        <v>2227</v>
      </c>
    </row>
    <row r="3" spans="1:6">
      <c r="A3" t="s">
        <v>35</v>
      </c>
      <c r="B3">
        <v>18</v>
      </c>
      <c r="C3" s="2" t="s">
        <v>41</v>
      </c>
      <c r="E3" s="75">
        <v>1</v>
      </c>
      <c r="F3" s="75" t="s">
        <v>2228</v>
      </c>
    </row>
    <row r="4" spans="1:6">
      <c r="A4" t="s">
        <v>35</v>
      </c>
      <c r="B4">
        <v>18</v>
      </c>
      <c r="C4" s="2" t="s">
        <v>42</v>
      </c>
      <c r="E4" s="10">
        <v>2</v>
      </c>
      <c r="F4" s="10" t="s">
        <v>2229</v>
      </c>
    </row>
    <row r="5" spans="1:6">
      <c r="A5" t="s">
        <v>35</v>
      </c>
      <c r="B5">
        <v>18</v>
      </c>
      <c r="C5" s="2" t="s">
        <v>43</v>
      </c>
      <c r="E5" s="75">
        <v>3</v>
      </c>
      <c r="F5" s="75" t="s">
        <v>2230</v>
      </c>
    </row>
    <row r="6" spans="1:6">
      <c r="A6" s="2" t="s">
        <v>17</v>
      </c>
      <c r="B6" s="2">
        <v>9</v>
      </c>
      <c r="C6" s="2" t="s">
        <v>44</v>
      </c>
      <c r="E6" s="10">
        <v>4</v>
      </c>
      <c r="F6" s="75" t="s">
        <v>2231</v>
      </c>
    </row>
    <row r="7" spans="1:6">
      <c r="A7" s="2" t="s">
        <v>5</v>
      </c>
      <c r="B7" s="2">
        <v>3</v>
      </c>
      <c r="C7" s="2" t="s">
        <v>45</v>
      </c>
      <c r="E7" s="75">
        <v>5</v>
      </c>
      <c r="F7" s="10" t="s">
        <v>2232</v>
      </c>
    </row>
    <row r="8" spans="1:6">
      <c r="A8" s="2" t="s">
        <v>21</v>
      </c>
      <c r="B8" s="2">
        <v>11</v>
      </c>
      <c r="C8" s="2" t="s">
        <v>46</v>
      </c>
      <c r="E8" s="10">
        <v>6</v>
      </c>
      <c r="F8" s="10" t="s">
        <v>2233</v>
      </c>
    </row>
    <row r="9" spans="1:6">
      <c r="A9" t="s">
        <v>3</v>
      </c>
      <c r="B9">
        <v>2</v>
      </c>
      <c r="C9" s="2" t="s">
        <v>47</v>
      </c>
      <c r="E9" s="75">
        <v>7</v>
      </c>
      <c r="F9" s="10" t="s">
        <v>2234</v>
      </c>
    </row>
    <row r="10" spans="1:6">
      <c r="A10" t="s">
        <v>13</v>
      </c>
      <c r="B10">
        <v>7</v>
      </c>
      <c r="C10" s="2" t="s">
        <v>48</v>
      </c>
      <c r="E10" s="10">
        <v>8</v>
      </c>
      <c r="F10" s="10" t="s">
        <v>2235</v>
      </c>
    </row>
    <row r="11" spans="1:6">
      <c r="A11" t="s">
        <v>3</v>
      </c>
      <c r="B11">
        <v>2</v>
      </c>
      <c r="C11" s="2" t="s">
        <v>49</v>
      </c>
      <c r="E11" s="75">
        <v>9</v>
      </c>
      <c r="F11" s="10" t="s">
        <v>2236</v>
      </c>
    </row>
    <row r="12" spans="1:6">
      <c r="A12" t="s">
        <v>5</v>
      </c>
      <c r="B12">
        <v>3</v>
      </c>
      <c r="C12" s="2" t="s">
        <v>50</v>
      </c>
      <c r="E12" s="10">
        <v>10</v>
      </c>
      <c r="F12" s="10" t="s">
        <v>2237</v>
      </c>
    </row>
    <row r="13" spans="1:6">
      <c r="A13" t="s">
        <v>27</v>
      </c>
      <c r="B13">
        <v>14</v>
      </c>
      <c r="C13" s="2" t="s">
        <v>51</v>
      </c>
      <c r="E13" s="75">
        <v>11</v>
      </c>
      <c r="F13" s="10" t="s">
        <v>2238</v>
      </c>
    </row>
    <row r="14" spans="1:6">
      <c r="A14" t="s">
        <v>23</v>
      </c>
      <c r="B14">
        <v>12</v>
      </c>
      <c r="C14" s="2" t="s">
        <v>52</v>
      </c>
      <c r="E14" s="10">
        <v>12</v>
      </c>
      <c r="F14" s="74" t="s">
        <v>2239</v>
      </c>
    </row>
    <row r="15" spans="1:6" ht="15.75">
      <c r="A15" t="s">
        <v>5</v>
      </c>
      <c r="B15">
        <v>3</v>
      </c>
      <c r="C15" s="2" t="s">
        <v>53</v>
      </c>
      <c r="E15" s="75">
        <v>13</v>
      </c>
      <c r="F15" s="77" t="s">
        <v>253</v>
      </c>
    </row>
    <row r="16" spans="1:6">
      <c r="A16" t="s">
        <v>27</v>
      </c>
      <c r="B16">
        <v>14</v>
      </c>
      <c r="C16" s="2" t="s">
        <v>54</v>
      </c>
    </row>
    <row r="17" spans="1:3">
      <c r="A17" t="s">
        <v>27</v>
      </c>
      <c r="B17">
        <v>14</v>
      </c>
      <c r="C17" s="2" t="s">
        <v>55</v>
      </c>
    </row>
    <row r="18" spans="1:3">
      <c r="A18" t="s">
        <v>13</v>
      </c>
      <c r="B18">
        <v>7</v>
      </c>
      <c r="C18" s="2" t="s">
        <v>56</v>
      </c>
    </row>
    <row r="19" spans="1:3">
      <c r="A19" t="s">
        <v>27</v>
      </c>
      <c r="B19">
        <v>14</v>
      </c>
      <c r="C19" s="2" t="s">
        <v>57</v>
      </c>
    </row>
    <row r="20" spans="1:3">
      <c r="A20" t="s">
        <v>7</v>
      </c>
      <c r="B20">
        <v>4</v>
      </c>
      <c r="C20" s="2" t="s">
        <v>58</v>
      </c>
    </row>
    <row r="21" spans="1:3">
      <c r="A21" t="s">
        <v>23</v>
      </c>
      <c r="B21">
        <v>12</v>
      </c>
      <c r="C21" s="2" t="s">
        <v>59</v>
      </c>
    </row>
    <row r="22" spans="1:3">
      <c r="A22" t="s">
        <v>29</v>
      </c>
      <c r="B22">
        <v>15</v>
      </c>
      <c r="C22" s="2" t="s">
        <v>60</v>
      </c>
    </row>
    <row r="23" spans="1:3">
      <c r="A23" t="s">
        <v>3</v>
      </c>
      <c r="B23">
        <v>2</v>
      </c>
      <c r="C23" s="2" t="s">
        <v>61</v>
      </c>
    </row>
    <row r="24" spans="1:3">
      <c r="A24" t="s">
        <v>11</v>
      </c>
      <c r="B24">
        <v>6</v>
      </c>
      <c r="C24" s="2" t="s">
        <v>62</v>
      </c>
    </row>
    <row r="25" spans="1:3">
      <c r="A25" t="s">
        <v>11</v>
      </c>
      <c r="B25">
        <v>6</v>
      </c>
      <c r="C25" s="2" t="s">
        <v>63</v>
      </c>
    </row>
    <row r="26" spans="1:3">
      <c r="A26" t="s">
        <v>19</v>
      </c>
      <c r="B26">
        <v>10</v>
      </c>
      <c r="C26" s="2" t="s">
        <v>64</v>
      </c>
    </row>
    <row r="27" spans="1:3">
      <c r="A27" t="s">
        <v>3</v>
      </c>
      <c r="B27">
        <v>2</v>
      </c>
      <c r="C27" s="2" t="s">
        <v>65</v>
      </c>
    </row>
    <row r="28" spans="1:3">
      <c r="A28" t="s">
        <v>9</v>
      </c>
      <c r="B28">
        <v>5</v>
      </c>
      <c r="C28" s="2" t="s">
        <v>66</v>
      </c>
    </row>
    <row r="29" spans="1:3">
      <c r="A29" t="s">
        <v>5</v>
      </c>
      <c r="B29">
        <v>3</v>
      </c>
      <c r="C29" s="2" t="s">
        <v>67</v>
      </c>
    </row>
    <row r="30" spans="1:3">
      <c r="A30" t="s">
        <v>3</v>
      </c>
      <c r="B30">
        <v>2</v>
      </c>
      <c r="C30" s="2" t="s">
        <v>68</v>
      </c>
    </row>
    <row r="31" spans="1:3">
      <c r="A31" t="s">
        <v>3</v>
      </c>
      <c r="B31">
        <v>2</v>
      </c>
      <c r="C31" s="2" t="s">
        <v>69</v>
      </c>
    </row>
    <row r="32" spans="1:3">
      <c r="A32" t="s">
        <v>23</v>
      </c>
      <c r="B32">
        <v>12</v>
      </c>
      <c r="C32" s="2" t="s">
        <v>70</v>
      </c>
    </row>
    <row r="33" spans="1:3">
      <c r="A33" t="s">
        <v>23</v>
      </c>
      <c r="B33">
        <v>12</v>
      </c>
      <c r="C33" s="2" t="s">
        <v>71</v>
      </c>
    </row>
    <row r="34" spans="1:3">
      <c r="A34" t="s">
        <v>9</v>
      </c>
      <c r="B34">
        <v>5</v>
      </c>
      <c r="C34" s="2" t="s">
        <v>72</v>
      </c>
    </row>
    <row r="35" spans="1:3">
      <c r="A35" t="s">
        <v>9</v>
      </c>
      <c r="B35">
        <v>5</v>
      </c>
      <c r="C35" s="2" t="s">
        <v>73</v>
      </c>
    </row>
    <row r="36" spans="1:3">
      <c r="A36" t="s">
        <v>9</v>
      </c>
      <c r="B36">
        <v>5</v>
      </c>
      <c r="C36" s="2" t="s">
        <v>74</v>
      </c>
    </row>
    <row r="37" spans="1:3">
      <c r="A37" t="s">
        <v>3</v>
      </c>
      <c r="B37">
        <v>2</v>
      </c>
      <c r="C37" s="2" t="s">
        <v>75</v>
      </c>
    </row>
    <row r="38" spans="1:3">
      <c r="A38" t="s">
        <v>5</v>
      </c>
      <c r="B38">
        <v>3</v>
      </c>
      <c r="C38" s="2" t="s">
        <v>76</v>
      </c>
    </row>
    <row r="39" spans="1:3">
      <c r="A39" t="s">
        <v>7</v>
      </c>
      <c r="B39">
        <v>4</v>
      </c>
      <c r="C39" s="2" t="s">
        <v>77</v>
      </c>
    </row>
    <row r="40" spans="1:3">
      <c r="A40" t="s">
        <v>9</v>
      </c>
      <c r="B40">
        <v>5</v>
      </c>
      <c r="C40" s="2" t="s">
        <v>78</v>
      </c>
    </row>
    <row r="41" spans="1:3">
      <c r="A41" t="s">
        <v>13</v>
      </c>
      <c r="B41">
        <v>7</v>
      </c>
      <c r="C41" s="2" t="s">
        <v>79</v>
      </c>
    </row>
    <row r="42" spans="1:3">
      <c r="A42" t="s">
        <v>3</v>
      </c>
      <c r="B42">
        <v>2</v>
      </c>
      <c r="C42" s="2" t="s">
        <v>80</v>
      </c>
    </row>
    <row r="43" spans="1:3">
      <c r="A43" t="s">
        <v>19</v>
      </c>
      <c r="B43">
        <v>10</v>
      </c>
      <c r="C43" s="2" t="s">
        <v>81</v>
      </c>
    </row>
    <row r="44" spans="1:3">
      <c r="A44" t="s">
        <v>9</v>
      </c>
      <c r="B44">
        <v>5</v>
      </c>
      <c r="C44" s="2" t="s">
        <v>82</v>
      </c>
    </row>
    <row r="45" spans="1:3">
      <c r="A45" t="s">
        <v>9</v>
      </c>
      <c r="B45">
        <v>5</v>
      </c>
      <c r="C45" s="2" t="s">
        <v>83</v>
      </c>
    </row>
    <row r="46" spans="1:3">
      <c r="A46" t="s">
        <v>3</v>
      </c>
      <c r="B46">
        <v>2</v>
      </c>
      <c r="C46" s="2" t="s">
        <v>84</v>
      </c>
    </row>
    <row r="47" spans="1:3">
      <c r="A47" t="s">
        <v>3</v>
      </c>
      <c r="B47">
        <v>2</v>
      </c>
      <c r="C47" s="2" t="s">
        <v>85</v>
      </c>
    </row>
    <row r="48" spans="1:3">
      <c r="A48" t="s">
        <v>9</v>
      </c>
      <c r="B48">
        <v>5</v>
      </c>
      <c r="C48" s="2" t="s">
        <v>86</v>
      </c>
    </row>
    <row r="49" spans="1:3">
      <c r="A49" t="s">
        <v>35</v>
      </c>
      <c r="B49">
        <v>18</v>
      </c>
      <c r="C49" s="2" t="s">
        <v>87</v>
      </c>
    </row>
    <row r="50" spans="1:3">
      <c r="A50" t="s">
        <v>35</v>
      </c>
      <c r="B50">
        <v>18</v>
      </c>
      <c r="C50" s="2" t="s">
        <v>88</v>
      </c>
    </row>
    <row r="51" spans="1:3">
      <c r="A51" t="s">
        <v>35</v>
      </c>
      <c r="B51">
        <v>18</v>
      </c>
      <c r="C51" s="2" t="s">
        <v>89</v>
      </c>
    </row>
    <row r="52" spans="1:3">
      <c r="A52" t="s">
        <v>35</v>
      </c>
      <c r="B52">
        <v>18</v>
      </c>
      <c r="C52" s="2" t="s">
        <v>90</v>
      </c>
    </row>
    <row r="53" spans="1:3">
      <c r="A53" t="s">
        <v>35</v>
      </c>
      <c r="B53">
        <v>18</v>
      </c>
      <c r="C53" s="2" t="s">
        <v>91</v>
      </c>
    </row>
    <row r="54" spans="1:3">
      <c r="A54" t="s">
        <v>3</v>
      </c>
      <c r="B54">
        <v>2</v>
      </c>
      <c r="C54" s="2" t="s">
        <v>92</v>
      </c>
    </row>
    <row r="55" spans="1:3">
      <c r="A55" t="s">
        <v>3</v>
      </c>
      <c r="B55">
        <v>2</v>
      </c>
      <c r="C55" s="2" t="s">
        <v>93</v>
      </c>
    </row>
    <row r="56" spans="1:3">
      <c r="A56" t="s">
        <v>3</v>
      </c>
      <c r="B56">
        <v>2</v>
      </c>
      <c r="C56" s="2" t="s">
        <v>94</v>
      </c>
    </row>
    <row r="57" spans="1:3">
      <c r="A57" t="s">
        <v>3</v>
      </c>
      <c r="B57">
        <v>2</v>
      </c>
      <c r="C57" s="2" t="s">
        <v>95</v>
      </c>
    </row>
    <row r="58" spans="1:3">
      <c r="A58" t="s">
        <v>3</v>
      </c>
      <c r="B58">
        <v>2</v>
      </c>
      <c r="C58" s="2" t="s">
        <v>96</v>
      </c>
    </row>
    <row r="59" spans="1:3">
      <c r="A59" t="s">
        <v>9</v>
      </c>
      <c r="B59">
        <v>5</v>
      </c>
      <c r="C59" s="2" t="s">
        <v>97</v>
      </c>
    </row>
    <row r="60" spans="1:3">
      <c r="A60" t="s">
        <v>9</v>
      </c>
      <c r="B60">
        <v>5</v>
      </c>
      <c r="C60" s="2" t="s">
        <v>98</v>
      </c>
    </row>
    <row r="61" spans="1:3">
      <c r="A61" t="s">
        <v>35</v>
      </c>
      <c r="B61">
        <v>18</v>
      </c>
      <c r="C61" s="2" t="s">
        <v>99</v>
      </c>
    </row>
    <row r="62" spans="1:3">
      <c r="A62" t="s">
        <v>35</v>
      </c>
      <c r="B62">
        <v>18</v>
      </c>
      <c r="C62" s="2" t="s">
        <v>100</v>
      </c>
    </row>
    <row r="63" spans="1:3">
      <c r="A63" t="s">
        <v>35</v>
      </c>
      <c r="B63">
        <v>18</v>
      </c>
      <c r="C63" s="2" t="s">
        <v>101</v>
      </c>
    </row>
    <row r="64" spans="1:3">
      <c r="A64" t="s">
        <v>35</v>
      </c>
      <c r="B64">
        <v>18</v>
      </c>
      <c r="C64" s="2" t="s">
        <v>102</v>
      </c>
    </row>
    <row r="65" spans="1:3">
      <c r="A65" t="s">
        <v>35</v>
      </c>
      <c r="B65">
        <v>18</v>
      </c>
      <c r="C65" s="2" t="s">
        <v>103</v>
      </c>
    </row>
    <row r="66" spans="1:3">
      <c r="A66" t="s">
        <v>35</v>
      </c>
      <c r="B66">
        <v>18</v>
      </c>
      <c r="C66" s="2" t="s">
        <v>104</v>
      </c>
    </row>
    <row r="67" spans="1:3">
      <c r="A67" t="s">
        <v>105</v>
      </c>
      <c r="B67">
        <v>20</v>
      </c>
      <c r="C67" s="2" t="s">
        <v>106</v>
      </c>
    </row>
    <row r="68" spans="1:3">
      <c r="A68" t="s">
        <v>31</v>
      </c>
      <c r="B68">
        <v>16</v>
      </c>
      <c r="C68" s="2" t="s">
        <v>107</v>
      </c>
    </row>
    <row r="69" spans="1:3">
      <c r="A69" t="s">
        <v>31</v>
      </c>
      <c r="B69">
        <v>16</v>
      </c>
      <c r="C69" s="2" t="s">
        <v>108</v>
      </c>
    </row>
    <row r="70" spans="1:3">
      <c r="A70" t="s">
        <v>31</v>
      </c>
      <c r="B70">
        <v>16</v>
      </c>
      <c r="C70" s="2" t="s">
        <v>109</v>
      </c>
    </row>
    <row r="71" spans="1:3">
      <c r="A71" t="s">
        <v>33</v>
      </c>
      <c r="B71">
        <v>17</v>
      </c>
      <c r="C71" s="2" t="s">
        <v>110</v>
      </c>
    </row>
    <row r="72" spans="1:3">
      <c r="A72" t="s">
        <v>105</v>
      </c>
      <c r="B72">
        <v>20</v>
      </c>
      <c r="C72" s="2" t="s">
        <v>111</v>
      </c>
    </row>
    <row r="73" spans="1:3">
      <c r="A73" t="s">
        <v>9</v>
      </c>
      <c r="B73">
        <v>5</v>
      </c>
      <c r="C73" s="2" t="s">
        <v>112</v>
      </c>
    </row>
    <row r="74" spans="1:3">
      <c r="A74" t="s">
        <v>19</v>
      </c>
      <c r="B74">
        <v>10</v>
      </c>
      <c r="C74" s="2" t="s">
        <v>113</v>
      </c>
    </row>
    <row r="75" spans="1:3">
      <c r="A75" t="s">
        <v>19</v>
      </c>
      <c r="B75">
        <v>10</v>
      </c>
      <c r="C75" s="2" t="s">
        <v>114</v>
      </c>
    </row>
    <row r="76" spans="1:3">
      <c r="A76" t="s">
        <v>3</v>
      </c>
      <c r="B76">
        <v>2</v>
      </c>
      <c r="C76" s="2" t="s">
        <v>115</v>
      </c>
    </row>
    <row r="77" spans="1:3">
      <c r="A77" t="s">
        <v>3</v>
      </c>
      <c r="B77">
        <v>2</v>
      </c>
      <c r="C77" s="2" t="s">
        <v>116</v>
      </c>
    </row>
    <row r="78" spans="1:3">
      <c r="A78" t="s">
        <v>17</v>
      </c>
      <c r="B78">
        <v>9</v>
      </c>
      <c r="C78" s="2" t="s">
        <v>117</v>
      </c>
    </row>
    <row r="79" spans="1:3">
      <c r="A79" t="s">
        <v>3</v>
      </c>
      <c r="B79">
        <v>2</v>
      </c>
      <c r="C79" s="2" t="s">
        <v>118</v>
      </c>
    </row>
    <row r="80" spans="1:3">
      <c r="A80" t="s">
        <v>3</v>
      </c>
      <c r="B80">
        <v>2</v>
      </c>
      <c r="C80" s="2" t="s">
        <v>119</v>
      </c>
    </row>
    <row r="81" spans="1:3">
      <c r="A81" t="s">
        <v>3</v>
      </c>
      <c r="B81">
        <v>2</v>
      </c>
      <c r="C81" s="2" t="s">
        <v>120</v>
      </c>
    </row>
    <row r="82" spans="1:3">
      <c r="A82" t="s">
        <v>17</v>
      </c>
      <c r="B82">
        <v>9</v>
      </c>
      <c r="C82" s="2" t="s">
        <v>121</v>
      </c>
    </row>
    <row r="83" spans="1:3">
      <c r="A83" t="s">
        <v>11</v>
      </c>
      <c r="B83">
        <v>6</v>
      </c>
      <c r="C83" s="2" t="s">
        <v>122</v>
      </c>
    </row>
    <row r="84" spans="1:3">
      <c r="A84" t="s">
        <v>31</v>
      </c>
      <c r="B84">
        <v>16</v>
      </c>
      <c r="C84" s="2" t="s">
        <v>123</v>
      </c>
    </row>
    <row r="85" spans="1:3">
      <c r="A85" t="s">
        <v>23</v>
      </c>
      <c r="B85">
        <v>12</v>
      </c>
      <c r="C85" s="2" t="s">
        <v>124</v>
      </c>
    </row>
    <row r="86" spans="1:3">
      <c r="A86" t="s">
        <v>23</v>
      </c>
      <c r="B86">
        <v>12</v>
      </c>
      <c r="C86" s="2" t="s">
        <v>125</v>
      </c>
    </row>
    <row r="87" spans="1:3">
      <c r="A87" t="s">
        <v>21</v>
      </c>
      <c r="B87">
        <v>11</v>
      </c>
      <c r="C87" s="2" t="s">
        <v>126</v>
      </c>
    </row>
    <row r="88" spans="1:3">
      <c r="A88" t="s">
        <v>3</v>
      </c>
      <c r="B88">
        <v>2</v>
      </c>
      <c r="C88" s="2" t="s">
        <v>127</v>
      </c>
    </row>
    <row r="89" spans="1:3">
      <c r="A89" t="s">
        <v>3</v>
      </c>
      <c r="B89">
        <v>2</v>
      </c>
      <c r="C89" s="2" t="s">
        <v>128</v>
      </c>
    </row>
    <row r="90" spans="1:3">
      <c r="A90" t="s">
        <v>3</v>
      </c>
      <c r="B90">
        <v>2</v>
      </c>
      <c r="C90" s="2" t="s">
        <v>129</v>
      </c>
    </row>
    <row r="91" spans="1:3">
      <c r="A91" t="s">
        <v>21</v>
      </c>
      <c r="B91">
        <v>11</v>
      </c>
      <c r="C91" s="2" t="s">
        <v>130</v>
      </c>
    </row>
    <row r="92" spans="1:3">
      <c r="A92" t="s">
        <v>13</v>
      </c>
      <c r="B92">
        <v>7</v>
      </c>
      <c r="C92" s="2" t="s">
        <v>131</v>
      </c>
    </row>
    <row r="93" spans="1:3">
      <c r="A93" t="s">
        <v>3</v>
      </c>
      <c r="B93">
        <v>2</v>
      </c>
      <c r="C93" s="2" t="s">
        <v>132</v>
      </c>
    </row>
    <row r="94" spans="1:3">
      <c r="A94" t="s">
        <v>23</v>
      </c>
      <c r="B94">
        <v>12</v>
      </c>
      <c r="C94" s="2" t="s">
        <v>133</v>
      </c>
    </row>
    <row r="95" spans="1:3">
      <c r="A95" t="s">
        <v>21</v>
      </c>
      <c r="B95">
        <v>11</v>
      </c>
      <c r="C95" s="2" t="s">
        <v>134</v>
      </c>
    </row>
    <row r="96" spans="1:3">
      <c r="A96" t="s">
        <v>21</v>
      </c>
      <c r="B96">
        <v>11</v>
      </c>
      <c r="C96" s="2" t="s">
        <v>135</v>
      </c>
    </row>
    <row r="97" spans="1:3">
      <c r="A97" t="s">
        <v>3</v>
      </c>
      <c r="B97">
        <v>2</v>
      </c>
      <c r="C97" s="2" t="s">
        <v>136</v>
      </c>
    </row>
    <row r="98" spans="1:3">
      <c r="A98" t="s">
        <v>3</v>
      </c>
      <c r="B98">
        <v>2</v>
      </c>
      <c r="C98" s="2" t="s">
        <v>137</v>
      </c>
    </row>
    <row r="99" spans="1:3">
      <c r="A99" t="s">
        <v>21</v>
      </c>
      <c r="B99">
        <v>11</v>
      </c>
      <c r="C99" s="2" t="s">
        <v>138</v>
      </c>
    </row>
    <row r="100" spans="1:3">
      <c r="A100" t="s">
        <v>21</v>
      </c>
      <c r="B100">
        <v>11</v>
      </c>
      <c r="C100" s="2" t="s">
        <v>139</v>
      </c>
    </row>
    <row r="101" spans="1:3">
      <c r="A101" t="s">
        <v>7</v>
      </c>
      <c r="B101">
        <v>4</v>
      </c>
      <c r="C101" s="2" t="s">
        <v>140</v>
      </c>
    </row>
    <row r="102" spans="1:3">
      <c r="A102" t="s">
        <v>3</v>
      </c>
      <c r="B102">
        <v>2</v>
      </c>
      <c r="C102" s="2" t="s">
        <v>141</v>
      </c>
    </row>
    <row r="103" spans="1:3">
      <c r="A103" t="s">
        <v>3</v>
      </c>
      <c r="B103">
        <v>2</v>
      </c>
      <c r="C103" s="2" t="s">
        <v>142</v>
      </c>
    </row>
    <row r="104" spans="1:3">
      <c r="A104" t="s">
        <v>3</v>
      </c>
      <c r="B104">
        <v>2</v>
      </c>
      <c r="C104" s="2" t="s">
        <v>143</v>
      </c>
    </row>
    <row r="105" spans="1:3">
      <c r="A105" t="s">
        <v>3</v>
      </c>
      <c r="B105">
        <v>2</v>
      </c>
      <c r="C105" s="2" t="s">
        <v>144</v>
      </c>
    </row>
    <row r="106" spans="1:3">
      <c r="A106" t="s">
        <v>3</v>
      </c>
      <c r="B106">
        <v>2</v>
      </c>
      <c r="C106" s="2" t="s">
        <v>145</v>
      </c>
    </row>
    <row r="107" spans="1:3">
      <c r="A107" t="s">
        <v>3</v>
      </c>
      <c r="B107">
        <v>2</v>
      </c>
      <c r="C107" s="2" t="s">
        <v>146</v>
      </c>
    </row>
    <row r="108" spans="1:3">
      <c r="A108" t="s">
        <v>3</v>
      </c>
      <c r="B108">
        <v>2</v>
      </c>
      <c r="C108" s="2" t="s">
        <v>147</v>
      </c>
    </row>
    <row r="109" spans="1:3">
      <c r="A109" t="s">
        <v>3</v>
      </c>
      <c r="B109">
        <v>2</v>
      </c>
      <c r="C109" s="2" t="s">
        <v>148</v>
      </c>
    </row>
    <row r="110" spans="1:3">
      <c r="A110" t="s">
        <v>3</v>
      </c>
      <c r="B110">
        <v>2</v>
      </c>
      <c r="C110" s="2" t="s">
        <v>149</v>
      </c>
    </row>
    <row r="111" spans="1:3">
      <c r="A111" t="s">
        <v>3</v>
      </c>
      <c r="B111">
        <v>2</v>
      </c>
      <c r="C111" s="2" t="s">
        <v>150</v>
      </c>
    </row>
    <row r="112" spans="1:3">
      <c r="A112" t="s">
        <v>3</v>
      </c>
      <c r="B112">
        <v>2</v>
      </c>
      <c r="C112" s="2" t="s">
        <v>151</v>
      </c>
    </row>
    <row r="113" spans="1:3">
      <c r="A113" t="s">
        <v>3</v>
      </c>
      <c r="B113">
        <v>2</v>
      </c>
      <c r="C113" s="2" t="s">
        <v>152</v>
      </c>
    </row>
    <row r="114" spans="1:3">
      <c r="A114" t="s">
        <v>3</v>
      </c>
      <c r="B114">
        <v>2</v>
      </c>
      <c r="C114" s="2" t="s">
        <v>153</v>
      </c>
    </row>
    <row r="115" spans="1:3">
      <c r="A115" t="s">
        <v>3</v>
      </c>
      <c r="B115">
        <v>2</v>
      </c>
      <c r="C115" s="2" t="s">
        <v>154</v>
      </c>
    </row>
    <row r="116" spans="1:3">
      <c r="A116" t="s">
        <v>3</v>
      </c>
      <c r="B116">
        <v>2</v>
      </c>
      <c r="C116" s="2" t="s">
        <v>155</v>
      </c>
    </row>
    <row r="117" spans="1:3">
      <c r="A117" t="s">
        <v>3</v>
      </c>
      <c r="B117">
        <v>2</v>
      </c>
      <c r="C117" s="2" t="s">
        <v>156</v>
      </c>
    </row>
    <row r="118" spans="1:3">
      <c r="A118" t="s">
        <v>3</v>
      </c>
      <c r="B118">
        <v>2</v>
      </c>
      <c r="C118" s="2" t="s">
        <v>157</v>
      </c>
    </row>
    <row r="119" spans="1:3">
      <c r="A119" t="s">
        <v>3</v>
      </c>
      <c r="B119">
        <v>2</v>
      </c>
      <c r="C119" s="2" t="s">
        <v>158</v>
      </c>
    </row>
    <row r="120" spans="1:3">
      <c r="A120" t="s">
        <v>3</v>
      </c>
      <c r="B120">
        <v>2</v>
      </c>
      <c r="C120" s="2" t="s">
        <v>159</v>
      </c>
    </row>
    <row r="121" spans="1:3">
      <c r="A121" t="s">
        <v>3</v>
      </c>
      <c r="B121">
        <v>2</v>
      </c>
      <c r="C121" s="2" t="s">
        <v>160</v>
      </c>
    </row>
    <row r="122" spans="1:3">
      <c r="A122" t="s">
        <v>3</v>
      </c>
      <c r="B122">
        <v>2</v>
      </c>
      <c r="C122" s="2" t="s">
        <v>161</v>
      </c>
    </row>
    <row r="123" spans="1:3">
      <c r="A123" t="s">
        <v>23</v>
      </c>
      <c r="B123">
        <v>12</v>
      </c>
      <c r="C123" s="2" t="s">
        <v>162</v>
      </c>
    </row>
    <row r="124" spans="1:3">
      <c r="A124" t="s">
        <v>3</v>
      </c>
      <c r="B124">
        <v>2</v>
      </c>
      <c r="C124" s="2" t="s">
        <v>163</v>
      </c>
    </row>
    <row r="125" spans="1:3">
      <c r="A125" t="s">
        <v>3</v>
      </c>
      <c r="B125">
        <v>2</v>
      </c>
      <c r="C125" s="2" t="s">
        <v>164</v>
      </c>
    </row>
    <row r="126" spans="1:3">
      <c r="A126" t="s">
        <v>13</v>
      </c>
      <c r="B126">
        <v>7</v>
      </c>
      <c r="C126" s="2" t="s">
        <v>165</v>
      </c>
    </row>
    <row r="127" spans="1:3">
      <c r="A127" t="s">
        <v>13</v>
      </c>
      <c r="B127">
        <v>7</v>
      </c>
      <c r="C127" s="2" t="s">
        <v>166</v>
      </c>
    </row>
    <row r="128" spans="1:3">
      <c r="A128" t="s">
        <v>13</v>
      </c>
      <c r="B128">
        <v>7</v>
      </c>
      <c r="C128" s="2" t="s">
        <v>167</v>
      </c>
    </row>
    <row r="129" spans="1:3">
      <c r="A129" t="s">
        <v>3</v>
      </c>
      <c r="B129">
        <v>2</v>
      </c>
      <c r="C129" s="2" t="s">
        <v>168</v>
      </c>
    </row>
    <row r="130" spans="1:3">
      <c r="A130" t="s">
        <v>23</v>
      </c>
      <c r="B130">
        <v>12</v>
      </c>
      <c r="C130" s="2" t="s">
        <v>169</v>
      </c>
    </row>
    <row r="131" spans="1:3">
      <c r="A131" t="s">
        <v>3</v>
      </c>
      <c r="B131">
        <v>2</v>
      </c>
      <c r="C131" s="2" t="s">
        <v>170</v>
      </c>
    </row>
    <row r="132" spans="1:3">
      <c r="A132" t="s">
        <v>9</v>
      </c>
      <c r="B132">
        <v>5</v>
      </c>
      <c r="C132" s="2" t="s">
        <v>171</v>
      </c>
    </row>
    <row r="133" spans="1:3">
      <c r="A133" t="s">
        <v>3</v>
      </c>
      <c r="B133">
        <v>2</v>
      </c>
      <c r="C133" s="2" t="s">
        <v>172</v>
      </c>
    </row>
    <row r="134" spans="1:3">
      <c r="A134" t="s">
        <v>3</v>
      </c>
      <c r="B134">
        <v>2</v>
      </c>
      <c r="C134" s="2" t="s">
        <v>173</v>
      </c>
    </row>
    <row r="135" spans="1:3">
      <c r="A135" t="s">
        <v>17</v>
      </c>
      <c r="B135">
        <v>9</v>
      </c>
      <c r="C135" s="2" t="s">
        <v>174</v>
      </c>
    </row>
    <row r="136" spans="1:3">
      <c r="A136" t="s">
        <v>3</v>
      </c>
      <c r="B136">
        <v>2</v>
      </c>
      <c r="C136" s="2" t="s">
        <v>175</v>
      </c>
    </row>
    <row r="137" spans="1:3">
      <c r="A137" t="s">
        <v>35</v>
      </c>
      <c r="B137">
        <v>18</v>
      </c>
      <c r="C137" s="2" t="s">
        <v>176</v>
      </c>
    </row>
    <row r="138" spans="1:3">
      <c r="A138" t="s">
        <v>3</v>
      </c>
      <c r="B138">
        <v>2</v>
      </c>
      <c r="C138" s="2" t="s">
        <v>177</v>
      </c>
    </row>
    <row r="139" spans="1:3">
      <c r="A139" t="s">
        <v>5</v>
      </c>
      <c r="B139">
        <v>3</v>
      </c>
      <c r="C139" s="2" t="s">
        <v>178</v>
      </c>
    </row>
    <row r="140" spans="1:3">
      <c r="A140" t="s">
        <v>13</v>
      </c>
      <c r="B140">
        <v>7</v>
      </c>
      <c r="C140" s="2" t="s">
        <v>179</v>
      </c>
    </row>
    <row r="141" spans="1:3">
      <c r="A141" t="s">
        <v>31</v>
      </c>
      <c r="B141">
        <v>16</v>
      </c>
      <c r="C141" s="2" t="s">
        <v>180</v>
      </c>
    </row>
    <row r="142" spans="1:3">
      <c r="A142" t="s">
        <v>35</v>
      </c>
      <c r="B142">
        <v>18</v>
      </c>
      <c r="C142" s="2" t="s">
        <v>181</v>
      </c>
    </row>
    <row r="143" spans="1:3">
      <c r="A143" t="s">
        <v>31</v>
      </c>
      <c r="B143">
        <v>16</v>
      </c>
      <c r="C143" s="2" t="s">
        <v>182</v>
      </c>
    </row>
    <row r="144" spans="1:3">
      <c r="A144" t="s">
        <v>21</v>
      </c>
      <c r="B144">
        <v>11</v>
      </c>
      <c r="C144" s="2" t="s">
        <v>183</v>
      </c>
    </row>
    <row r="145" spans="1:3">
      <c r="A145" t="s">
        <v>25</v>
      </c>
      <c r="B145">
        <v>13</v>
      </c>
      <c r="C145" s="2" t="s">
        <v>184</v>
      </c>
    </row>
    <row r="146" spans="1:3">
      <c r="A146" t="s">
        <v>23</v>
      </c>
      <c r="B146">
        <v>12</v>
      </c>
      <c r="C146" s="2" t="s">
        <v>185</v>
      </c>
    </row>
    <row r="147" spans="1:3">
      <c r="A147" t="s">
        <v>21</v>
      </c>
      <c r="B147">
        <v>11</v>
      </c>
      <c r="C147" s="2" t="s">
        <v>186</v>
      </c>
    </row>
    <row r="148" spans="1:3">
      <c r="A148" t="s">
        <v>3</v>
      </c>
      <c r="B148">
        <v>2</v>
      </c>
      <c r="C148" s="2" t="s">
        <v>187</v>
      </c>
    </row>
    <row r="149" spans="1:3">
      <c r="A149" t="s">
        <v>21</v>
      </c>
      <c r="B149">
        <v>11</v>
      </c>
      <c r="C149" s="2" t="s">
        <v>188</v>
      </c>
    </row>
    <row r="150" spans="1:3">
      <c r="A150" t="s">
        <v>3</v>
      </c>
      <c r="B150">
        <v>2</v>
      </c>
      <c r="C150" s="2" t="s">
        <v>189</v>
      </c>
    </row>
    <row r="151" spans="1:3">
      <c r="A151" t="s">
        <v>3</v>
      </c>
      <c r="B151">
        <v>2</v>
      </c>
      <c r="C151" s="2" t="s">
        <v>190</v>
      </c>
    </row>
    <row r="152" spans="1:3">
      <c r="A152" t="s">
        <v>3</v>
      </c>
      <c r="B152">
        <v>2</v>
      </c>
      <c r="C152" s="2" t="s">
        <v>191</v>
      </c>
    </row>
    <row r="153" spans="1:3">
      <c r="A153" t="s">
        <v>21</v>
      </c>
      <c r="B153">
        <v>11</v>
      </c>
      <c r="C153" s="2" t="s">
        <v>192</v>
      </c>
    </row>
    <row r="154" spans="1:3">
      <c r="A154" t="s">
        <v>21</v>
      </c>
      <c r="B154">
        <v>11</v>
      </c>
      <c r="C154" s="2" t="s">
        <v>193</v>
      </c>
    </row>
    <row r="155" spans="1:3">
      <c r="A155" t="s">
        <v>3</v>
      </c>
      <c r="B155">
        <v>2</v>
      </c>
      <c r="C155" s="2" t="s">
        <v>194</v>
      </c>
    </row>
    <row r="156" spans="1:3">
      <c r="A156" t="s">
        <v>3</v>
      </c>
      <c r="B156">
        <v>2</v>
      </c>
      <c r="C156" s="2" t="s">
        <v>195</v>
      </c>
    </row>
    <row r="157" spans="1:3">
      <c r="A157" t="s">
        <v>3</v>
      </c>
      <c r="B157">
        <v>2</v>
      </c>
      <c r="C157" s="2" t="s">
        <v>196</v>
      </c>
    </row>
    <row r="158" spans="1:3">
      <c r="A158" t="s">
        <v>3</v>
      </c>
      <c r="B158">
        <v>2</v>
      </c>
      <c r="C158" s="22" t="s">
        <v>1434</v>
      </c>
    </row>
    <row r="159" spans="1:3">
      <c r="A159" t="s">
        <v>35</v>
      </c>
      <c r="B159">
        <v>18</v>
      </c>
      <c r="C159" s="2" t="s">
        <v>1435</v>
      </c>
    </row>
    <row r="160" spans="1:3">
      <c r="C160" s="3"/>
    </row>
  </sheetData>
  <dataValidations count="1">
    <dataValidation type="list" allowBlank="1" showInputMessage="1" showErrorMessage="1" sqref="A9:B48 A54:B60 A138:B140 A85:B136 A73:B83 A144:B158" xr:uid="{3DF47900-4636-4DBD-BD07-F120EF29D699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C095-1A78-4767-BF6F-5D2249292B4E}">
  <sheetPr>
    <tabColor theme="8" tint="0.59999389629810485"/>
  </sheetPr>
  <dimension ref="A1:C176"/>
  <sheetViews>
    <sheetView workbookViewId="0">
      <selection activeCell="B1" sqref="B1"/>
    </sheetView>
  </sheetViews>
  <sheetFormatPr defaultRowHeight="15"/>
  <cols>
    <col min="1" max="1" width="13.28515625" bestFit="1" customWidth="1"/>
    <col min="2" max="2" width="14.140625" bestFit="1" customWidth="1"/>
    <col min="3" max="3" width="108" bestFit="1" customWidth="1"/>
  </cols>
  <sheetData>
    <row r="1" spans="1:3">
      <c r="A1" s="5" t="s">
        <v>352</v>
      </c>
      <c r="B1" s="5" t="s">
        <v>0</v>
      </c>
      <c r="C1" s="5" t="s">
        <v>351</v>
      </c>
    </row>
    <row r="2" spans="1:3">
      <c r="A2" t="s">
        <v>1</v>
      </c>
      <c r="B2">
        <v>1</v>
      </c>
      <c r="C2" t="s">
        <v>199</v>
      </c>
    </row>
    <row r="3" spans="1:3">
      <c r="A3" t="s">
        <v>1</v>
      </c>
      <c r="B3">
        <v>1</v>
      </c>
      <c r="C3" t="s">
        <v>200</v>
      </c>
    </row>
    <row r="4" spans="1:3">
      <c r="A4" t="s">
        <v>3</v>
      </c>
      <c r="B4">
        <v>2</v>
      </c>
      <c r="C4" t="s">
        <v>201</v>
      </c>
    </row>
    <row r="5" spans="1:3">
      <c r="A5" t="s">
        <v>5</v>
      </c>
      <c r="B5">
        <v>3</v>
      </c>
      <c r="C5" t="s">
        <v>202</v>
      </c>
    </row>
    <row r="6" spans="1:3">
      <c r="A6" t="s">
        <v>7</v>
      </c>
      <c r="B6">
        <v>4</v>
      </c>
      <c r="C6" t="s">
        <v>203</v>
      </c>
    </row>
    <row r="7" spans="1:3">
      <c r="A7" t="s">
        <v>7</v>
      </c>
      <c r="B7">
        <v>4</v>
      </c>
      <c r="C7" t="s">
        <v>204</v>
      </c>
    </row>
    <row r="8" spans="1:3">
      <c r="A8" t="s">
        <v>7</v>
      </c>
      <c r="B8">
        <v>4</v>
      </c>
      <c r="C8" t="s">
        <v>205</v>
      </c>
    </row>
    <row r="9" spans="1:3">
      <c r="A9" t="s">
        <v>7</v>
      </c>
      <c r="B9">
        <v>4</v>
      </c>
      <c r="C9" t="s">
        <v>206</v>
      </c>
    </row>
    <row r="10" spans="1:3">
      <c r="A10" t="s">
        <v>7</v>
      </c>
      <c r="B10">
        <v>4</v>
      </c>
      <c r="C10" t="s">
        <v>207</v>
      </c>
    </row>
    <row r="11" spans="1:3">
      <c r="A11" t="s">
        <v>7</v>
      </c>
      <c r="B11">
        <v>4</v>
      </c>
      <c r="C11" t="s">
        <v>208</v>
      </c>
    </row>
    <row r="12" spans="1:3">
      <c r="A12" t="s">
        <v>7</v>
      </c>
      <c r="B12">
        <v>4</v>
      </c>
      <c r="C12" t="s">
        <v>209</v>
      </c>
    </row>
    <row r="13" spans="1:3">
      <c r="A13" t="s">
        <v>7</v>
      </c>
      <c r="B13">
        <v>4</v>
      </c>
      <c r="C13" t="s">
        <v>210</v>
      </c>
    </row>
    <row r="14" spans="1:3">
      <c r="A14" t="s">
        <v>7</v>
      </c>
      <c r="B14">
        <v>4</v>
      </c>
      <c r="C14" t="s">
        <v>209</v>
      </c>
    </row>
    <row r="15" spans="1:3">
      <c r="A15" t="s">
        <v>7</v>
      </c>
      <c r="B15">
        <v>4</v>
      </c>
      <c r="C15" t="s">
        <v>210</v>
      </c>
    </row>
    <row r="16" spans="1:3">
      <c r="A16" t="s">
        <v>7</v>
      </c>
      <c r="B16">
        <v>4</v>
      </c>
      <c r="C16" t="s">
        <v>211</v>
      </c>
    </row>
    <row r="17" spans="1:3">
      <c r="A17" t="s">
        <v>7</v>
      </c>
      <c r="B17">
        <v>4</v>
      </c>
      <c r="C17" t="s">
        <v>212</v>
      </c>
    </row>
    <row r="18" spans="1:3">
      <c r="A18" t="s">
        <v>7</v>
      </c>
      <c r="B18">
        <v>4</v>
      </c>
      <c r="C18" t="s">
        <v>213</v>
      </c>
    </row>
    <row r="19" spans="1:3">
      <c r="A19" t="s">
        <v>7</v>
      </c>
      <c r="B19">
        <v>4</v>
      </c>
      <c r="C19" t="s">
        <v>214</v>
      </c>
    </row>
    <row r="20" spans="1:3">
      <c r="A20" t="s">
        <v>7</v>
      </c>
      <c r="B20">
        <v>4</v>
      </c>
      <c r="C20" t="s">
        <v>215</v>
      </c>
    </row>
    <row r="21" spans="1:3">
      <c r="A21" t="s">
        <v>7</v>
      </c>
      <c r="B21">
        <v>4</v>
      </c>
      <c r="C21" t="s">
        <v>216</v>
      </c>
    </row>
    <row r="22" spans="1:3">
      <c r="A22" t="s">
        <v>7</v>
      </c>
      <c r="B22">
        <v>4</v>
      </c>
      <c r="C22" t="s">
        <v>217</v>
      </c>
    </row>
    <row r="23" spans="1:3">
      <c r="A23" t="s">
        <v>7</v>
      </c>
      <c r="B23">
        <v>4</v>
      </c>
      <c r="C23" t="s">
        <v>218</v>
      </c>
    </row>
    <row r="24" spans="1:3">
      <c r="A24" t="s">
        <v>7</v>
      </c>
      <c r="B24">
        <v>4</v>
      </c>
      <c r="C24" t="s">
        <v>219</v>
      </c>
    </row>
    <row r="25" spans="1:3">
      <c r="A25" t="s">
        <v>7</v>
      </c>
      <c r="B25">
        <v>4</v>
      </c>
      <c r="C25" t="s">
        <v>220</v>
      </c>
    </row>
    <row r="26" spans="1:3">
      <c r="A26" t="s">
        <v>9</v>
      </c>
      <c r="B26">
        <v>5</v>
      </c>
      <c r="C26" t="s">
        <v>221</v>
      </c>
    </row>
    <row r="27" spans="1:3">
      <c r="A27" t="s">
        <v>9</v>
      </c>
      <c r="B27">
        <v>5</v>
      </c>
      <c r="C27" t="s">
        <v>222</v>
      </c>
    </row>
    <row r="28" spans="1:3">
      <c r="A28" t="s">
        <v>9</v>
      </c>
      <c r="B28">
        <v>5</v>
      </c>
      <c r="C28" t="s">
        <v>223</v>
      </c>
    </row>
    <row r="29" spans="1:3">
      <c r="A29" t="s">
        <v>9</v>
      </c>
      <c r="B29">
        <v>5</v>
      </c>
      <c r="C29" t="s">
        <v>224</v>
      </c>
    </row>
    <row r="30" spans="1:3">
      <c r="A30" t="s">
        <v>5</v>
      </c>
      <c r="B30">
        <v>3</v>
      </c>
      <c r="C30" t="s">
        <v>225</v>
      </c>
    </row>
    <row r="31" spans="1:3">
      <c r="A31" t="s">
        <v>5</v>
      </c>
      <c r="B31">
        <v>3</v>
      </c>
      <c r="C31" t="s">
        <v>226</v>
      </c>
    </row>
    <row r="32" spans="1:3">
      <c r="A32" t="s">
        <v>11</v>
      </c>
      <c r="B32">
        <v>6</v>
      </c>
      <c r="C32" t="s">
        <v>227</v>
      </c>
    </row>
    <row r="33" spans="1:3">
      <c r="A33" t="s">
        <v>11</v>
      </c>
      <c r="B33">
        <v>6</v>
      </c>
      <c r="C33" t="s">
        <v>228</v>
      </c>
    </row>
    <row r="34" spans="1:3">
      <c r="A34" t="s">
        <v>11</v>
      </c>
      <c r="B34">
        <v>6</v>
      </c>
      <c r="C34" t="s">
        <v>229</v>
      </c>
    </row>
    <row r="35" spans="1:3">
      <c r="A35" t="s">
        <v>11</v>
      </c>
      <c r="B35">
        <v>6</v>
      </c>
      <c r="C35" t="s">
        <v>230</v>
      </c>
    </row>
    <row r="36" spans="1:3">
      <c r="A36" t="s">
        <v>11</v>
      </c>
      <c r="B36">
        <v>6</v>
      </c>
      <c r="C36" t="s">
        <v>231</v>
      </c>
    </row>
    <row r="37" spans="1:3">
      <c r="A37" t="s">
        <v>11</v>
      </c>
      <c r="B37">
        <v>6</v>
      </c>
      <c r="C37" t="s">
        <v>232</v>
      </c>
    </row>
    <row r="38" spans="1:3">
      <c r="A38" t="s">
        <v>11</v>
      </c>
      <c r="B38">
        <v>6</v>
      </c>
      <c r="C38" t="s">
        <v>233</v>
      </c>
    </row>
    <row r="39" spans="1:3">
      <c r="A39" t="s">
        <v>11</v>
      </c>
      <c r="B39">
        <v>6</v>
      </c>
      <c r="C39" t="s">
        <v>234</v>
      </c>
    </row>
    <row r="40" spans="1:3">
      <c r="A40" t="s">
        <v>11</v>
      </c>
      <c r="B40">
        <v>6</v>
      </c>
      <c r="C40" t="s">
        <v>235</v>
      </c>
    </row>
    <row r="41" spans="1:3">
      <c r="A41" t="s">
        <v>11</v>
      </c>
      <c r="B41">
        <v>6</v>
      </c>
      <c r="C41" t="s">
        <v>235</v>
      </c>
    </row>
    <row r="42" spans="1:3">
      <c r="A42" t="s">
        <v>11</v>
      </c>
      <c r="B42">
        <v>6</v>
      </c>
      <c r="C42" t="s">
        <v>236</v>
      </c>
    </row>
    <row r="43" spans="1:3">
      <c r="A43" t="s">
        <v>11</v>
      </c>
      <c r="B43">
        <v>6</v>
      </c>
      <c r="C43" t="s">
        <v>237</v>
      </c>
    </row>
    <row r="44" spans="1:3">
      <c r="A44" t="s">
        <v>11</v>
      </c>
      <c r="B44">
        <v>6</v>
      </c>
      <c r="C44" t="s">
        <v>238</v>
      </c>
    </row>
    <row r="45" spans="1:3">
      <c r="A45" t="s">
        <v>11</v>
      </c>
      <c r="B45">
        <v>6</v>
      </c>
      <c r="C45" t="s">
        <v>239</v>
      </c>
    </row>
    <row r="46" spans="1:3">
      <c r="A46" t="s">
        <v>11</v>
      </c>
      <c r="B46">
        <v>6</v>
      </c>
      <c r="C46" t="s">
        <v>240</v>
      </c>
    </row>
    <row r="47" spans="1:3">
      <c r="A47" t="s">
        <v>11</v>
      </c>
      <c r="B47">
        <v>6</v>
      </c>
      <c r="C47" t="s">
        <v>241</v>
      </c>
    </row>
    <row r="48" spans="1:3">
      <c r="A48" t="s">
        <v>11</v>
      </c>
      <c r="B48">
        <v>6</v>
      </c>
      <c r="C48" t="s">
        <v>242</v>
      </c>
    </row>
    <row r="49" spans="1:3">
      <c r="A49" t="s">
        <v>11</v>
      </c>
      <c r="B49">
        <v>6</v>
      </c>
      <c r="C49" t="s">
        <v>243</v>
      </c>
    </row>
    <row r="50" spans="1:3">
      <c r="A50" t="s">
        <v>11</v>
      </c>
      <c r="B50">
        <v>6</v>
      </c>
      <c r="C50" t="s">
        <v>244</v>
      </c>
    </row>
    <row r="51" spans="1:3">
      <c r="A51" t="s">
        <v>11</v>
      </c>
      <c r="B51">
        <v>6</v>
      </c>
      <c r="C51" t="s">
        <v>245</v>
      </c>
    </row>
    <row r="52" spans="1:3">
      <c r="A52" t="s">
        <v>11</v>
      </c>
      <c r="B52">
        <v>6</v>
      </c>
      <c r="C52" t="s">
        <v>246</v>
      </c>
    </row>
    <row r="53" spans="1:3">
      <c r="A53" t="s">
        <v>11</v>
      </c>
      <c r="B53">
        <v>6</v>
      </c>
      <c r="C53" t="s">
        <v>247</v>
      </c>
    </row>
    <row r="54" spans="1:3">
      <c r="A54" t="s">
        <v>11</v>
      </c>
      <c r="B54">
        <v>6</v>
      </c>
      <c r="C54" t="s">
        <v>248</v>
      </c>
    </row>
    <row r="55" spans="1:3">
      <c r="A55" t="s">
        <v>13</v>
      </c>
      <c r="B55">
        <v>7</v>
      </c>
      <c r="C55" t="s">
        <v>249</v>
      </c>
    </row>
    <row r="56" spans="1:3">
      <c r="A56" t="s">
        <v>13</v>
      </c>
      <c r="B56">
        <v>7</v>
      </c>
      <c r="C56" t="s">
        <v>250</v>
      </c>
    </row>
    <row r="57" spans="1:3">
      <c r="A57" t="s">
        <v>13</v>
      </c>
      <c r="B57">
        <v>7</v>
      </c>
      <c r="C57" t="s">
        <v>251</v>
      </c>
    </row>
    <row r="58" spans="1:3">
      <c r="A58" t="s">
        <v>13</v>
      </c>
      <c r="B58">
        <v>7</v>
      </c>
      <c r="C58" t="s">
        <v>252</v>
      </c>
    </row>
    <row r="59" spans="1:3">
      <c r="A59" t="s">
        <v>15</v>
      </c>
      <c r="B59">
        <v>8</v>
      </c>
      <c r="C59" t="s">
        <v>253</v>
      </c>
    </row>
    <row r="60" spans="1:3">
      <c r="A60" t="s">
        <v>17</v>
      </c>
      <c r="B60">
        <v>9</v>
      </c>
      <c r="C60" t="s">
        <v>254</v>
      </c>
    </row>
    <row r="61" spans="1:3">
      <c r="A61" t="s">
        <v>17</v>
      </c>
      <c r="B61">
        <v>9</v>
      </c>
      <c r="C61" t="s">
        <v>254</v>
      </c>
    </row>
    <row r="62" spans="1:3">
      <c r="A62" t="s">
        <v>17</v>
      </c>
      <c r="B62">
        <v>9</v>
      </c>
      <c r="C62" t="s">
        <v>255</v>
      </c>
    </row>
    <row r="63" spans="1:3">
      <c r="A63" t="s">
        <v>17</v>
      </c>
      <c r="B63">
        <v>9</v>
      </c>
      <c r="C63" t="s">
        <v>256</v>
      </c>
    </row>
    <row r="64" spans="1:3">
      <c r="A64" t="s">
        <v>17</v>
      </c>
      <c r="B64">
        <v>9</v>
      </c>
      <c r="C64" t="s">
        <v>257</v>
      </c>
    </row>
    <row r="65" spans="1:3">
      <c r="A65" t="s">
        <v>17</v>
      </c>
      <c r="B65">
        <v>9</v>
      </c>
      <c r="C65" t="s">
        <v>258</v>
      </c>
    </row>
    <row r="66" spans="1:3">
      <c r="A66" t="s">
        <v>15</v>
      </c>
      <c r="B66">
        <v>8</v>
      </c>
      <c r="C66" t="s">
        <v>259</v>
      </c>
    </row>
    <row r="67" spans="1:3">
      <c r="A67" t="s">
        <v>15</v>
      </c>
      <c r="B67">
        <v>8</v>
      </c>
      <c r="C67" t="s">
        <v>260</v>
      </c>
    </row>
    <row r="68" spans="1:3">
      <c r="A68" t="s">
        <v>11</v>
      </c>
      <c r="B68">
        <v>6</v>
      </c>
      <c r="C68" t="s">
        <v>261</v>
      </c>
    </row>
    <row r="69" spans="1:3">
      <c r="A69" t="s">
        <v>19</v>
      </c>
      <c r="B69">
        <v>10</v>
      </c>
      <c r="C69" t="s">
        <v>262</v>
      </c>
    </row>
    <row r="70" spans="1:3">
      <c r="A70" t="s">
        <v>3</v>
      </c>
      <c r="B70">
        <v>2</v>
      </c>
      <c r="C70" t="s">
        <v>263</v>
      </c>
    </row>
    <row r="71" spans="1:3">
      <c r="A71" t="s">
        <v>3</v>
      </c>
      <c r="B71">
        <v>2</v>
      </c>
      <c r="C71" t="s">
        <v>264</v>
      </c>
    </row>
    <row r="72" spans="1:3">
      <c r="A72" t="s">
        <v>3</v>
      </c>
      <c r="B72">
        <v>2</v>
      </c>
      <c r="C72" t="s">
        <v>264</v>
      </c>
    </row>
    <row r="73" spans="1:3">
      <c r="A73" t="s">
        <v>3</v>
      </c>
      <c r="B73">
        <v>2</v>
      </c>
      <c r="C73" t="s">
        <v>265</v>
      </c>
    </row>
    <row r="74" spans="1:3">
      <c r="A74" t="s">
        <v>5</v>
      </c>
      <c r="B74">
        <v>3</v>
      </c>
      <c r="C74" t="s">
        <v>266</v>
      </c>
    </row>
    <row r="75" spans="1:3">
      <c r="A75" t="s">
        <v>21</v>
      </c>
      <c r="B75">
        <v>11</v>
      </c>
      <c r="C75" t="s">
        <v>267</v>
      </c>
    </row>
    <row r="76" spans="1:3">
      <c r="A76" t="s">
        <v>21</v>
      </c>
      <c r="B76">
        <v>11</v>
      </c>
      <c r="C76" t="s">
        <v>268</v>
      </c>
    </row>
    <row r="77" spans="1:3">
      <c r="A77" t="s">
        <v>21</v>
      </c>
      <c r="B77">
        <v>11</v>
      </c>
      <c r="C77" t="s">
        <v>268</v>
      </c>
    </row>
    <row r="78" spans="1:3">
      <c r="A78" t="s">
        <v>21</v>
      </c>
      <c r="B78">
        <v>11</v>
      </c>
      <c r="C78" t="s">
        <v>269</v>
      </c>
    </row>
    <row r="79" spans="1:3">
      <c r="A79" t="s">
        <v>21</v>
      </c>
      <c r="B79">
        <v>11</v>
      </c>
      <c r="C79" t="s">
        <v>270</v>
      </c>
    </row>
    <row r="80" spans="1:3">
      <c r="A80" t="s">
        <v>21</v>
      </c>
      <c r="B80">
        <v>11</v>
      </c>
      <c r="C80" t="s">
        <v>270</v>
      </c>
    </row>
    <row r="81" spans="1:3">
      <c r="A81" t="s">
        <v>3</v>
      </c>
      <c r="B81">
        <v>2</v>
      </c>
      <c r="C81" t="s">
        <v>271</v>
      </c>
    </row>
    <row r="82" spans="1:3">
      <c r="A82" t="s">
        <v>3</v>
      </c>
      <c r="B82">
        <v>2</v>
      </c>
      <c r="C82" t="s">
        <v>272</v>
      </c>
    </row>
    <row r="83" spans="1:3">
      <c r="A83" t="s">
        <v>15</v>
      </c>
      <c r="B83">
        <v>8</v>
      </c>
      <c r="C83" t="s">
        <v>260</v>
      </c>
    </row>
    <row r="84" spans="1:3">
      <c r="A84" t="s">
        <v>1</v>
      </c>
      <c r="B84">
        <v>1</v>
      </c>
      <c r="C84" t="s">
        <v>273</v>
      </c>
    </row>
    <row r="85" spans="1:3">
      <c r="A85" t="s">
        <v>15</v>
      </c>
      <c r="B85">
        <v>8</v>
      </c>
      <c r="C85" t="s">
        <v>253</v>
      </c>
    </row>
    <row r="86" spans="1:3">
      <c r="A86" t="s">
        <v>3</v>
      </c>
      <c r="B86">
        <v>2</v>
      </c>
      <c r="C86" t="s">
        <v>274</v>
      </c>
    </row>
    <row r="87" spans="1:3">
      <c r="A87" t="s">
        <v>23</v>
      </c>
      <c r="B87">
        <v>12</v>
      </c>
      <c r="C87" t="s">
        <v>275</v>
      </c>
    </row>
    <row r="88" spans="1:3">
      <c r="A88" t="s">
        <v>23</v>
      </c>
      <c r="B88">
        <v>12</v>
      </c>
      <c r="C88" t="s">
        <v>276</v>
      </c>
    </row>
    <row r="89" spans="1:3">
      <c r="A89" t="s">
        <v>3</v>
      </c>
      <c r="B89">
        <v>2</v>
      </c>
      <c r="C89" t="s">
        <v>277</v>
      </c>
    </row>
    <row r="90" spans="1:3">
      <c r="A90" t="s">
        <v>19</v>
      </c>
      <c r="B90">
        <v>10</v>
      </c>
      <c r="C90" t="s">
        <v>278</v>
      </c>
    </row>
    <row r="91" spans="1:3">
      <c r="A91" t="s">
        <v>25</v>
      </c>
      <c r="B91">
        <v>13</v>
      </c>
      <c r="C91" t="s">
        <v>279</v>
      </c>
    </row>
    <row r="92" spans="1:3">
      <c r="A92" t="s">
        <v>11</v>
      </c>
      <c r="B92">
        <v>6</v>
      </c>
      <c r="C92" t="s">
        <v>280</v>
      </c>
    </row>
    <row r="93" spans="1:3">
      <c r="A93" t="s">
        <v>11</v>
      </c>
      <c r="B93">
        <v>6</v>
      </c>
      <c r="C93" t="s">
        <v>281</v>
      </c>
    </row>
    <row r="94" spans="1:3">
      <c r="A94" t="s">
        <v>11</v>
      </c>
      <c r="B94">
        <v>6</v>
      </c>
      <c r="C94" t="s">
        <v>282</v>
      </c>
    </row>
    <row r="95" spans="1:3">
      <c r="A95" t="s">
        <v>11</v>
      </c>
      <c r="B95">
        <v>6</v>
      </c>
      <c r="C95" t="s">
        <v>283</v>
      </c>
    </row>
    <row r="96" spans="1:3">
      <c r="A96" t="s">
        <v>11</v>
      </c>
      <c r="B96">
        <v>6</v>
      </c>
      <c r="C96" t="s">
        <v>284</v>
      </c>
    </row>
    <row r="97" spans="1:3">
      <c r="A97" t="s">
        <v>11</v>
      </c>
      <c r="B97">
        <v>6</v>
      </c>
      <c r="C97" t="s">
        <v>285</v>
      </c>
    </row>
    <row r="98" spans="1:3">
      <c r="A98" t="s">
        <v>11</v>
      </c>
      <c r="B98">
        <v>6</v>
      </c>
      <c r="C98" t="s">
        <v>286</v>
      </c>
    </row>
    <row r="99" spans="1:3">
      <c r="A99" t="s">
        <v>13</v>
      </c>
      <c r="B99">
        <v>7</v>
      </c>
      <c r="C99" t="s">
        <v>250</v>
      </c>
    </row>
    <row r="100" spans="1:3">
      <c r="A100" t="s">
        <v>13</v>
      </c>
      <c r="B100">
        <v>7</v>
      </c>
      <c r="C100" t="s">
        <v>251</v>
      </c>
    </row>
    <row r="101" spans="1:3">
      <c r="A101" t="s">
        <v>13</v>
      </c>
      <c r="B101">
        <v>7</v>
      </c>
      <c r="C101" t="s">
        <v>249</v>
      </c>
    </row>
    <row r="102" spans="1:3">
      <c r="A102" t="s">
        <v>3</v>
      </c>
      <c r="B102">
        <v>2</v>
      </c>
      <c r="C102" t="s">
        <v>287</v>
      </c>
    </row>
    <row r="103" spans="1:3">
      <c r="A103" t="s">
        <v>15</v>
      </c>
      <c r="B103">
        <v>8</v>
      </c>
      <c r="C103" t="s">
        <v>288</v>
      </c>
    </row>
    <row r="104" spans="1:3">
      <c r="A104" t="s">
        <v>15</v>
      </c>
      <c r="B104">
        <v>8</v>
      </c>
      <c r="C104" t="s">
        <v>289</v>
      </c>
    </row>
    <row r="105" spans="1:3">
      <c r="A105" t="s">
        <v>11</v>
      </c>
      <c r="B105">
        <v>6</v>
      </c>
      <c r="C105" t="s">
        <v>290</v>
      </c>
    </row>
    <row r="106" spans="1:3">
      <c r="A106" t="s">
        <v>11</v>
      </c>
      <c r="B106">
        <v>6</v>
      </c>
      <c r="C106" t="s">
        <v>291</v>
      </c>
    </row>
    <row r="107" spans="1:3">
      <c r="A107" t="s">
        <v>11</v>
      </c>
      <c r="B107">
        <v>6</v>
      </c>
      <c r="C107" t="s">
        <v>292</v>
      </c>
    </row>
    <row r="108" spans="1:3">
      <c r="A108" t="s">
        <v>11</v>
      </c>
      <c r="B108">
        <v>6</v>
      </c>
      <c r="C108" t="s">
        <v>293</v>
      </c>
    </row>
    <row r="109" spans="1:3">
      <c r="A109" t="s">
        <v>3</v>
      </c>
      <c r="B109">
        <v>2</v>
      </c>
      <c r="C109" t="s">
        <v>294</v>
      </c>
    </row>
    <row r="110" spans="1:3">
      <c r="A110" t="s">
        <v>3</v>
      </c>
      <c r="B110">
        <v>2</v>
      </c>
      <c r="C110" t="s">
        <v>295</v>
      </c>
    </row>
    <row r="111" spans="1:3">
      <c r="A111" t="s">
        <v>11</v>
      </c>
      <c r="B111">
        <v>6</v>
      </c>
      <c r="C111" t="s">
        <v>296</v>
      </c>
    </row>
    <row r="112" spans="1:3">
      <c r="A112" t="s">
        <v>9</v>
      </c>
      <c r="B112">
        <v>5</v>
      </c>
      <c r="C112" t="s">
        <v>297</v>
      </c>
    </row>
    <row r="113" spans="1:3">
      <c r="A113" t="s">
        <v>9</v>
      </c>
      <c r="B113">
        <v>5</v>
      </c>
      <c r="C113" t="s">
        <v>298</v>
      </c>
    </row>
    <row r="114" spans="1:3">
      <c r="A114" t="s">
        <v>9</v>
      </c>
      <c r="B114">
        <v>5</v>
      </c>
      <c r="C114" t="s">
        <v>299</v>
      </c>
    </row>
    <row r="115" spans="1:3">
      <c r="A115" t="s">
        <v>1</v>
      </c>
      <c r="B115">
        <v>1</v>
      </c>
      <c r="C115" t="s">
        <v>300</v>
      </c>
    </row>
    <row r="116" spans="1:3">
      <c r="A116" t="s">
        <v>23</v>
      </c>
      <c r="B116">
        <v>12</v>
      </c>
      <c r="C116" t="s">
        <v>301</v>
      </c>
    </row>
    <row r="117" spans="1:3">
      <c r="A117" t="s">
        <v>23</v>
      </c>
      <c r="B117">
        <v>12</v>
      </c>
      <c r="C117" t="s">
        <v>302</v>
      </c>
    </row>
    <row r="118" spans="1:3">
      <c r="A118" t="s">
        <v>15</v>
      </c>
      <c r="B118">
        <v>8</v>
      </c>
      <c r="C118" t="s">
        <v>303</v>
      </c>
    </row>
    <row r="119" spans="1:3">
      <c r="A119" t="s">
        <v>15</v>
      </c>
      <c r="B119">
        <v>8</v>
      </c>
      <c r="C119" t="s">
        <v>304</v>
      </c>
    </row>
    <row r="120" spans="1:3">
      <c r="A120" t="s">
        <v>17</v>
      </c>
      <c r="B120">
        <v>9</v>
      </c>
      <c r="C120" t="s">
        <v>305</v>
      </c>
    </row>
    <row r="121" spans="1:3">
      <c r="A121" t="s">
        <v>19</v>
      </c>
      <c r="B121">
        <v>10</v>
      </c>
      <c r="C121" t="s">
        <v>306</v>
      </c>
    </row>
    <row r="122" spans="1:3">
      <c r="A122" t="s">
        <v>15</v>
      </c>
      <c r="B122">
        <v>8</v>
      </c>
      <c r="C122" t="s">
        <v>253</v>
      </c>
    </row>
    <row r="123" spans="1:3">
      <c r="A123" t="s">
        <v>3</v>
      </c>
      <c r="B123">
        <v>2</v>
      </c>
      <c r="C123" t="s">
        <v>307</v>
      </c>
    </row>
    <row r="124" spans="1:3">
      <c r="A124" t="s">
        <v>23</v>
      </c>
      <c r="B124">
        <v>12</v>
      </c>
      <c r="C124" t="s">
        <v>308</v>
      </c>
    </row>
    <row r="125" spans="1:3">
      <c r="A125" t="s">
        <v>5</v>
      </c>
      <c r="B125">
        <v>3</v>
      </c>
      <c r="C125" t="s">
        <v>266</v>
      </c>
    </row>
    <row r="126" spans="1:3">
      <c r="A126" t="s">
        <v>19</v>
      </c>
      <c r="B126">
        <v>10</v>
      </c>
      <c r="C126" t="s">
        <v>309</v>
      </c>
    </row>
    <row r="127" spans="1:3">
      <c r="A127" t="s">
        <v>19</v>
      </c>
      <c r="B127">
        <v>10</v>
      </c>
      <c r="C127" t="s">
        <v>310</v>
      </c>
    </row>
    <row r="128" spans="1:3">
      <c r="A128" t="s">
        <v>19</v>
      </c>
      <c r="B128">
        <v>10</v>
      </c>
      <c r="C128" t="s">
        <v>311</v>
      </c>
    </row>
    <row r="129" spans="1:3">
      <c r="A129" t="s">
        <v>25</v>
      </c>
      <c r="B129">
        <v>13</v>
      </c>
      <c r="C129" t="s">
        <v>312</v>
      </c>
    </row>
    <row r="130" spans="1:3">
      <c r="A130" t="s">
        <v>25</v>
      </c>
      <c r="B130">
        <v>13</v>
      </c>
      <c r="C130" t="s">
        <v>313</v>
      </c>
    </row>
    <row r="131" spans="1:3">
      <c r="A131" t="s">
        <v>19</v>
      </c>
      <c r="B131">
        <v>10</v>
      </c>
      <c r="C131" t="s">
        <v>314</v>
      </c>
    </row>
    <row r="132" spans="1:3">
      <c r="A132" t="s">
        <v>13</v>
      </c>
      <c r="B132">
        <v>7</v>
      </c>
      <c r="C132" t="s">
        <v>315</v>
      </c>
    </row>
    <row r="133" spans="1:3">
      <c r="A133" t="s">
        <v>19</v>
      </c>
      <c r="B133">
        <v>10</v>
      </c>
      <c r="C133" t="s">
        <v>316</v>
      </c>
    </row>
    <row r="134" spans="1:3">
      <c r="A134" t="s">
        <v>23</v>
      </c>
      <c r="B134">
        <v>12</v>
      </c>
      <c r="C134" t="s">
        <v>317</v>
      </c>
    </row>
    <row r="135" spans="1:3">
      <c r="A135" t="s">
        <v>15</v>
      </c>
      <c r="B135">
        <v>8</v>
      </c>
      <c r="C135" t="s">
        <v>318</v>
      </c>
    </row>
    <row r="136" spans="1:3">
      <c r="A136" t="s">
        <v>5</v>
      </c>
      <c r="B136">
        <v>3</v>
      </c>
      <c r="C136" t="s">
        <v>319</v>
      </c>
    </row>
    <row r="137" spans="1:3">
      <c r="A137" t="s">
        <v>17</v>
      </c>
      <c r="B137">
        <v>9</v>
      </c>
      <c r="C137" t="s">
        <v>256</v>
      </c>
    </row>
    <row r="138" spans="1:3">
      <c r="A138" t="s">
        <v>11</v>
      </c>
      <c r="B138">
        <v>6</v>
      </c>
      <c r="C138" t="s">
        <v>320</v>
      </c>
    </row>
    <row r="139" spans="1:3">
      <c r="A139" t="s">
        <v>13</v>
      </c>
      <c r="B139">
        <v>7</v>
      </c>
      <c r="C139" t="s">
        <v>321</v>
      </c>
    </row>
    <row r="140" spans="1:3">
      <c r="A140" t="s">
        <v>17</v>
      </c>
      <c r="B140">
        <v>9</v>
      </c>
      <c r="C140" t="s">
        <v>255</v>
      </c>
    </row>
    <row r="141" spans="1:3">
      <c r="A141" t="s">
        <v>17</v>
      </c>
      <c r="B141">
        <v>9</v>
      </c>
      <c r="C141" t="s">
        <v>322</v>
      </c>
    </row>
    <row r="142" spans="1:3">
      <c r="A142" t="s">
        <v>17</v>
      </c>
      <c r="B142">
        <v>9</v>
      </c>
      <c r="C142" t="s">
        <v>323</v>
      </c>
    </row>
    <row r="143" spans="1:3">
      <c r="A143" t="s">
        <v>11</v>
      </c>
      <c r="B143">
        <v>6</v>
      </c>
      <c r="C143" t="s">
        <v>324</v>
      </c>
    </row>
    <row r="144" spans="1:3">
      <c r="A144" t="s">
        <v>13</v>
      </c>
      <c r="B144">
        <v>7</v>
      </c>
      <c r="C144" t="s">
        <v>325</v>
      </c>
    </row>
    <row r="145" spans="1:3">
      <c r="A145" t="s">
        <v>9</v>
      </c>
      <c r="B145">
        <v>5</v>
      </c>
      <c r="C145" t="s">
        <v>326</v>
      </c>
    </row>
    <row r="146" spans="1:3">
      <c r="A146" t="s">
        <v>25</v>
      </c>
      <c r="B146">
        <v>13</v>
      </c>
      <c r="C146" t="s">
        <v>327</v>
      </c>
    </row>
    <row r="147" spans="1:3">
      <c r="A147" t="s">
        <v>13</v>
      </c>
      <c r="B147">
        <v>7</v>
      </c>
      <c r="C147" t="s">
        <v>328</v>
      </c>
    </row>
    <row r="148" spans="1:3">
      <c r="A148" t="s">
        <v>13</v>
      </c>
      <c r="B148">
        <v>7</v>
      </c>
      <c r="C148" t="s">
        <v>249</v>
      </c>
    </row>
    <row r="149" spans="1:3">
      <c r="A149" t="s">
        <v>13</v>
      </c>
      <c r="B149">
        <v>7</v>
      </c>
      <c r="C149" t="s">
        <v>250</v>
      </c>
    </row>
    <row r="150" spans="1:3">
      <c r="A150" t="s">
        <v>13</v>
      </c>
      <c r="B150">
        <v>7</v>
      </c>
      <c r="C150" t="s">
        <v>251</v>
      </c>
    </row>
    <row r="151" spans="1:3">
      <c r="A151" t="s">
        <v>1</v>
      </c>
      <c r="B151">
        <v>1</v>
      </c>
      <c r="C151" t="s">
        <v>329</v>
      </c>
    </row>
    <row r="152" spans="1:3">
      <c r="A152" t="s">
        <v>1</v>
      </c>
      <c r="B152">
        <v>1</v>
      </c>
      <c r="C152" t="s">
        <v>330</v>
      </c>
    </row>
    <row r="153" spans="1:3">
      <c r="A153" t="s">
        <v>25</v>
      </c>
      <c r="B153">
        <v>13</v>
      </c>
      <c r="C153" t="s">
        <v>331</v>
      </c>
    </row>
    <row r="154" spans="1:3">
      <c r="A154" t="s">
        <v>11</v>
      </c>
      <c r="B154">
        <v>6</v>
      </c>
      <c r="C154" t="s">
        <v>332</v>
      </c>
    </row>
    <row r="155" spans="1:3">
      <c r="A155" t="s">
        <v>11</v>
      </c>
      <c r="B155">
        <v>6</v>
      </c>
      <c r="C155" t="s">
        <v>333</v>
      </c>
    </row>
    <row r="156" spans="1:3">
      <c r="A156" t="s">
        <v>11</v>
      </c>
      <c r="B156">
        <v>6</v>
      </c>
      <c r="C156" t="s">
        <v>334</v>
      </c>
    </row>
    <row r="157" spans="1:3">
      <c r="A157" t="s">
        <v>11</v>
      </c>
      <c r="B157">
        <v>6</v>
      </c>
      <c r="C157" t="s">
        <v>335</v>
      </c>
    </row>
    <row r="158" spans="1:3">
      <c r="A158" t="s">
        <v>11</v>
      </c>
      <c r="B158">
        <v>6</v>
      </c>
      <c r="C158" t="s">
        <v>285</v>
      </c>
    </row>
    <row r="159" spans="1:3">
      <c r="A159" t="s">
        <v>11</v>
      </c>
      <c r="B159">
        <v>6</v>
      </c>
      <c r="C159" t="s">
        <v>336</v>
      </c>
    </row>
    <row r="160" spans="1:3">
      <c r="A160" t="s">
        <v>25</v>
      </c>
      <c r="B160">
        <v>13</v>
      </c>
      <c r="C160" t="s">
        <v>337</v>
      </c>
    </row>
    <row r="161" spans="1:3">
      <c r="A161" t="s">
        <v>25</v>
      </c>
      <c r="B161">
        <v>13</v>
      </c>
      <c r="C161" t="s">
        <v>338</v>
      </c>
    </row>
    <row r="162" spans="1:3">
      <c r="A162" t="s">
        <v>19</v>
      </c>
      <c r="B162">
        <v>10</v>
      </c>
      <c r="C162" t="s">
        <v>278</v>
      </c>
    </row>
    <row r="163" spans="1:3">
      <c r="A163" t="s">
        <v>3</v>
      </c>
      <c r="B163">
        <v>2</v>
      </c>
      <c r="C163" t="s">
        <v>339</v>
      </c>
    </row>
    <row r="164" spans="1:3">
      <c r="A164" t="s">
        <v>3</v>
      </c>
      <c r="B164">
        <v>2</v>
      </c>
      <c r="C164" t="s">
        <v>340</v>
      </c>
    </row>
    <row r="165" spans="1:3">
      <c r="A165" t="s">
        <v>23</v>
      </c>
      <c r="B165">
        <v>12</v>
      </c>
      <c r="C165" t="s">
        <v>275</v>
      </c>
    </row>
    <row r="166" spans="1:3">
      <c r="A166" t="s">
        <v>23</v>
      </c>
      <c r="B166">
        <v>12</v>
      </c>
      <c r="C166" t="s">
        <v>341</v>
      </c>
    </row>
    <row r="167" spans="1:3">
      <c r="A167" t="s">
        <v>17</v>
      </c>
      <c r="B167">
        <v>9</v>
      </c>
      <c r="C167" t="s">
        <v>342</v>
      </c>
    </row>
    <row r="168" spans="1:3">
      <c r="A168" t="s">
        <v>15</v>
      </c>
      <c r="B168">
        <v>8</v>
      </c>
      <c r="C168" t="s">
        <v>253</v>
      </c>
    </row>
    <row r="169" spans="1:3">
      <c r="A169" t="s">
        <v>27</v>
      </c>
      <c r="B169">
        <v>14</v>
      </c>
      <c r="C169" t="s">
        <v>343</v>
      </c>
    </row>
    <row r="170" spans="1:3">
      <c r="A170" t="s">
        <v>27</v>
      </c>
      <c r="B170">
        <v>14</v>
      </c>
      <c r="C170" t="s">
        <v>344</v>
      </c>
    </row>
    <row r="171" spans="1:3">
      <c r="A171" t="s">
        <v>27</v>
      </c>
      <c r="B171">
        <v>14</v>
      </c>
      <c r="C171" t="s">
        <v>345</v>
      </c>
    </row>
    <row r="172" spans="1:3">
      <c r="A172" t="s">
        <v>27</v>
      </c>
      <c r="B172">
        <v>14</v>
      </c>
      <c r="C172" t="s">
        <v>346</v>
      </c>
    </row>
    <row r="173" spans="1:3">
      <c r="A173" t="s">
        <v>29</v>
      </c>
      <c r="B173">
        <v>15</v>
      </c>
      <c r="C173" t="s">
        <v>347</v>
      </c>
    </row>
    <row r="174" spans="1:3">
      <c r="A174" t="s">
        <v>3</v>
      </c>
      <c r="B174">
        <v>2</v>
      </c>
      <c r="C174" t="s">
        <v>348</v>
      </c>
    </row>
    <row r="175" spans="1:3">
      <c r="A175" t="s">
        <v>15</v>
      </c>
      <c r="B175">
        <v>8</v>
      </c>
      <c r="C175" t="s">
        <v>349</v>
      </c>
    </row>
    <row r="176" spans="1:3">
      <c r="A176" t="s">
        <v>15</v>
      </c>
      <c r="B176">
        <v>8</v>
      </c>
      <c r="C176" t="s">
        <v>350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6E09-D79F-48CF-9589-9FE299E91022}">
  <sheetPr>
    <tabColor theme="8" tint="0.59999389629810485"/>
  </sheetPr>
  <dimension ref="A1:O146"/>
  <sheetViews>
    <sheetView topLeftCell="A113" zoomScale="85" zoomScaleNormal="85" workbookViewId="0">
      <selection activeCell="A126" sqref="A126"/>
    </sheetView>
  </sheetViews>
  <sheetFormatPr defaultRowHeight="15"/>
  <cols>
    <col min="1" max="1" width="31.5703125" bestFit="1" customWidth="1"/>
    <col min="2" max="2" width="31.5703125" customWidth="1"/>
    <col min="3" max="3" width="9.5703125" customWidth="1"/>
    <col min="4" max="4" width="25.140625" customWidth="1"/>
    <col min="5" max="5" width="35.140625" customWidth="1"/>
    <col min="6" max="6" width="12.7109375" hidden="1" customWidth="1"/>
    <col min="7" max="7" width="13" hidden="1" customWidth="1"/>
    <col min="8" max="8" width="4.5703125" hidden="1" customWidth="1"/>
    <col min="9" max="9" width="10.85546875" hidden="1" customWidth="1"/>
    <col min="10" max="10" width="13" hidden="1" customWidth="1"/>
    <col min="11" max="11" width="20.140625" hidden="1" customWidth="1"/>
    <col min="12" max="12" width="24.28515625" hidden="1" customWidth="1"/>
    <col min="13" max="13" width="11.85546875" hidden="1" customWidth="1"/>
    <col min="14" max="26" width="0" hidden="1" customWidth="1"/>
  </cols>
  <sheetData>
    <row r="1" spans="1:15">
      <c r="A1" t="s">
        <v>1538</v>
      </c>
      <c r="B1" t="s">
        <v>684</v>
      </c>
      <c r="C1" t="s">
        <v>460</v>
      </c>
      <c r="D1" t="s">
        <v>461</v>
      </c>
      <c r="E1" t="s">
        <v>462</v>
      </c>
      <c r="F1" t="s">
        <v>2064</v>
      </c>
      <c r="G1" t="s">
        <v>2065</v>
      </c>
      <c r="H1" t="s">
        <v>2066</v>
      </c>
      <c r="I1" t="s">
        <v>2068</v>
      </c>
      <c r="J1" t="s">
        <v>2067</v>
      </c>
      <c r="K1" t="s">
        <v>2056</v>
      </c>
      <c r="L1" t="s">
        <v>2055</v>
      </c>
      <c r="M1" t="s">
        <v>463</v>
      </c>
      <c r="N1" t="s">
        <v>464</v>
      </c>
      <c r="O1" t="s">
        <v>465</v>
      </c>
    </row>
    <row r="2" spans="1:15" ht="30" hidden="1">
      <c r="A2">
        <v>1</v>
      </c>
      <c r="B2" t="s">
        <v>685</v>
      </c>
      <c r="C2" t="s">
        <v>466</v>
      </c>
      <c r="D2" t="s">
        <v>467</v>
      </c>
      <c r="E2" s="7" t="s">
        <v>468</v>
      </c>
      <c r="F2" s="7"/>
      <c r="G2" s="7"/>
      <c r="H2" s="7"/>
      <c r="I2" s="7"/>
      <c r="J2" s="7"/>
      <c r="K2" s="7"/>
      <c r="L2" s="7"/>
      <c r="M2" t="s">
        <v>469</v>
      </c>
      <c r="N2" s="7"/>
      <c r="O2" s="7"/>
    </row>
    <row r="3" spans="1:15" hidden="1">
      <c r="A3">
        <v>2</v>
      </c>
      <c r="B3" t="s">
        <v>686</v>
      </c>
      <c r="C3" t="s">
        <v>466</v>
      </c>
      <c r="D3" t="s">
        <v>467</v>
      </c>
      <c r="E3" s="7" t="s">
        <v>470</v>
      </c>
      <c r="F3" s="7"/>
      <c r="G3" s="7"/>
      <c r="H3" s="7"/>
      <c r="I3" s="7"/>
      <c r="J3" s="7"/>
      <c r="K3" s="7"/>
      <c r="L3" s="7"/>
      <c r="M3" t="s">
        <v>469</v>
      </c>
      <c r="N3" s="7"/>
      <c r="O3" s="7"/>
    </row>
    <row r="4" spans="1:15" ht="30" hidden="1">
      <c r="A4">
        <v>3</v>
      </c>
      <c r="B4" t="s">
        <v>687</v>
      </c>
      <c r="C4" t="s">
        <v>471</v>
      </c>
      <c r="D4" t="s">
        <v>467</v>
      </c>
      <c r="E4" s="7" t="s">
        <v>472</v>
      </c>
      <c r="F4" s="7"/>
      <c r="G4" s="7"/>
      <c r="H4" s="7"/>
      <c r="I4" s="7"/>
      <c r="J4" s="7"/>
      <c r="K4" s="7"/>
      <c r="L4" s="7"/>
      <c r="M4" t="s">
        <v>473</v>
      </c>
      <c r="N4" s="7"/>
      <c r="O4" s="7"/>
    </row>
    <row r="5" spans="1:15" ht="30" hidden="1">
      <c r="A5">
        <v>4</v>
      </c>
      <c r="B5" t="s">
        <v>688</v>
      </c>
      <c r="C5" t="s">
        <v>474</v>
      </c>
      <c r="D5" t="s">
        <v>467</v>
      </c>
      <c r="E5" s="7" t="s">
        <v>475</v>
      </c>
      <c r="F5" s="7"/>
      <c r="G5" s="7"/>
      <c r="H5" s="7"/>
      <c r="I5" s="7"/>
      <c r="J5" s="7"/>
      <c r="K5" s="7"/>
      <c r="L5" s="7"/>
      <c r="M5" t="s">
        <v>476</v>
      </c>
      <c r="N5" s="7"/>
      <c r="O5" s="7"/>
    </row>
    <row r="6" spans="1:15" ht="30" hidden="1">
      <c r="A6">
        <v>5</v>
      </c>
      <c r="B6" t="s">
        <v>689</v>
      </c>
      <c r="C6" t="s">
        <v>477</v>
      </c>
      <c r="D6" t="s">
        <v>467</v>
      </c>
      <c r="E6" s="7" t="s">
        <v>478</v>
      </c>
      <c r="F6" s="7"/>
      <c r="G6" s="7"/>
      <c r="H6" s="7"/>
      <c r="I6" s="7"/>
      <c r="J6" s="7"/>
      <c r="K6" s="7"/>
      <c r="L6" s="7"/>
      <c r="M6" t="s">
        <v>479</v>
      </c>
      <c r="N6" s="7" t="s">
        <v>480</v>
      </c>
      <c r="O6" s="7"/>
    </row>
    <row r="7" spans="1:15" hidden="1">
      <c r="A7">
        <v>6</v>
      </c>
      <c r="B7" t="s">
        <v>690</v>
      </c>
      <c r="C7" t="s">
        <v>477</v>
      </c>
      <c r="D7" t="s">
        <v>467</v>
      </c>
      <c r="E7" s="7" t="s">
        <v>481</v>
      </c>
      <c r="F7" s="7"/>
      <c r="G7" s="7"/>
      <c r="H7" s="7"/>
      <c r="I7" s="7"/>
      <c r="J7" s="7"/>
      <c r="K7" s="7"/>
      <c r="L7" s="7"/>
      <c r="M7" t="s">
        <v>479</v>
      </c>
      <c r="N7" s="7">
        <v>22439</v>
      </c>
      <c r="O7" s="7"/>
    </row>
    <row r="8" spans="1:15" hidden="1">
      <c r="A8">
        <v>7</v>
      </c>
      <c r="B8" t="s">
        <v>691</v>
      </c>
      <c r="C8" t="s">
        <v>477</v>
      </c>
      <c r="D8" t="s">
        <v>467</v>
      </c>
      <c r="E8" s="7" t="s">
        <v>482</v>
      </c>
      <c r="F8" s="7"/>
      <c r="G8" s="7"/>
      <c r="H8" s="7"/>
      <c r="I8" s="7"/>
      <c r="J8" s="7"/>
      <c r="K8" s="7"/>
      <c r="L8" s="7"/>
      <c r="M8" t="s">
        <v>479</v>
      </c>
      <c r="N8" s="7">
        <v>22423</v>
      </c>
      <c r="O8" s="7"/>
    </row>
    <row r="9" spans="1:15" hidden="1">
      <c r="A9">
        <v>8</v>
      </c>
      <c r="B9" t="s">
        <v>692</v>
      </c>
      <c r="C9" t="s">
        <v>477</v>
      </c>
      <c r="D9" t="s">
        <v>467</v>
      </c>
      <c r="E9" s="7" t="s">
        <v>483</v>
      </c>
      <c r="F9" s="7"/>
      <c r="G9" s="7"/>
      <c r="H9" s="7"/>
      <c r="I9" s="7"/>
      <c r="J9" s="7"/>
      <c r="K9" s="7"/>
      <c r="L9" s="7"/>
      <c r="M9" t="s">
        <v>479</v>
      </c>
      <c r="N9" s="7">
        <v>23017</v>
      </c>
      <c r="O9" s="7"/>
    </row>
    <row r="10" spans="1:15" hidden="1">
      <c r="A10">
        <v>9</v>
      </c>
      <c r="B10" t="s">
        <v>693</v>
      </c>
      <c r="C10" t="s">
        <v>477</v>
      </c>
      <c r="D10" t="s">
        <v>467</v>
      </c>
      <c r="E10" s="7" t="s">
        <v>484</v>
      </c>
      <c r="F10" s="7"/>
      <c r="G10" s="7"/>
      <c r="H10" s="7"/>
      <c r="I10" s="7"/>
      <c r="J10" s="7"/>
      <c r="K10" s="7"/>
      <c r="L10" s="7"/>
      <c r="M10" t="s">
        <v>479</v>
      </c>
      <c r="N10" s="7">
        <v>4460</v>
      </c>
      <c r="O10" s="7"/>
    </row>
    <row r="11" spans="1:15" hidden="1">
      <c r="A11">
        <v>10</v>
      </c>
      <c r="B11" t="s">
        <v>694</v>
      </c>
      <c r="C11" t="s">
        <v>477</v>
      </c>
      <c r="D11" t="s">
        <v>467</v>
      </c>
      <c r="E11" s="7" t="s">
        <v>485</v>
      </c>
      <c r="F11" s="7"/>
      <c r="G11" s="7"/>
      <c r="H11" s="7"/>
      <c r="I11" s="7"/>
      <c r="J11" s="7"/>
      <c r="K11" s="7"/>
      <c r="L11" s="7"/>
      <c r="M11" t="s">
        <v>479</v>
      </c>
      <c r="N11" s="7">
        <v>11029</v>
      </c>
      <c r="O11" s="7"/>
    </row>
    <row r="12" spans="1:15" hidden="1">
      <c r="A12">
        <v>11</v>
      </c>
      <c r="B12" t="s">
        <v>695</v>
      </c>
      <c r="C12" t="s">
        <v>477</v>
      </c>
      <c r="D12" t="s">
        <v>467</v>
      </c>
      <c r="E12" s="7" t="s">
        <v>486</v>
      </c>
      <c r="F12" s="7"/>
      <c r="G12" s="7"/>
      <c r="H12" s="7"/>
      <c r="I12" s="7"/>
      <c r="J12" s="7"/>
      <c r="K12" s="7"/>
      <c r="L12" s="7"/>
      <c r="M12" t="s">
        <v>479</v>
      </c>
      <c r="N12" s="7">
        <v>23193</v>
      </c>
      <c r="O12" s="7"/>
    </row>
    <row r="13" spans="1:15" hidden="1">
      <c r="A13">
        <v>12</v>
      </c>
      <c r="B13" t="s">
        <v>696</v>
      </c>
      <c r="C13" t="s">
        <v>477</v>
      </c>
      <c r="D13" t="s">
        <v>467</v>
      </c>
      <c r="E13" s="7" t="s">
        <v>487</v>
      </c>
      <c r="F13" s="7"/>
      <c r="G13" s="7"/>
      <c r="H13" s="7"/>
      <c r="I13" s="7"/>
      <c r="J13" s="7"/>
      <c r="K13" s="7"/>
      <c r="L13" s="7"/>
      <c r="M13" t="s">
        <v>479</v>
      </c>
      <c r="N13" s="7">
        <v>23280</v>
      </c>
      <c r="O13" s="7"/>
    </row>
    <row r="14" spans="1:15" hidden="1">
      <c r="A14">
        <v>13</v>
      </c>
      <c r="B14" t="s">
        <v>697</v>
      </c>
      <c r="C14" t="s">
        <v>477</v>
      </c>
      <c r="D14" t="s">
        <v>467</v>
      </c>
      <c r="E14" s="7" t="s">
        <v>488</v>
      </c>
      <c r="F14" s="7"/>
      <c r="G14" s="7"/>
      <c r="H14" s="7"/>
      <c r="I14" s="7"/>
      <c r="J14" s="7"/>
      <c r="K14" s="7"/>
      <c r="L14" s="7"/>
      <c r="M14" t="s">
        <v>479</v>
      </c>
      <c r="N14" s="7">
        <v>23512</v>
      </c>
      <c r="O14" s="7"/>
    </row>
    <row r="15" spans="1:15" ht="45" hidden="1">
      <c r="A15">
        <v>14</v>
      </c>
      <c r="B15" t="s">
        <v>698</v>
      </c>
      <c r="C15" t="s">
        <v>477</v>
      </c>
      <c r="D15" t="s">
        <v>467</v>
      </c>
      <c r="E15" s="7" t="s">
        <v>489</v>
      </c>
      <c r="F15" s="7"/>
      <c r="G15" s="7"/>
      <c r="H15" s="7"/>
      <c r="I15" s="7"/>
      <c r="J15" s="7"/>
      <c r="K15" s="7"/>
      <c r="L15" s="7"/>
      <c r="M15" t="s">
        <v>479</v>
      </c>
      <c r="N15" s="7" t="s">
        <v>490</v>
      </c>
      <c r="O15" s="7"/>
    </row>
    <row r="16" spans="1:15" hidden="1">
      <c r="A16">
        <v>15</v>
      </c>
      <c r="B16" t="s">
        <v>699</v>
      </c>
      <c r="C16" t="s">
        <v>477</v>
      </c>
      <c r="D16" t="s">
        <v>467</v>
      </c>
      <c r="E16" s="7" t="s">
        <v>491</v>
      </c>
      <c r="F16" s="7"/>
      <c r="G16" s="7"/>
      <c r="H16" s="7"/>
      <c r="I16" s="7"/>
      <c r="J16" s="7"/>
      <c r="K16" s="7"/>
      <c r="L16" s="7"/>
      <c r="M16" t="s">
        <v>479</v>
      </c>
      <c r="N16" s="7">
        <v>23712</v>
      </c>
      <c r="O16" s="7"/>
    </row>
    <row r="17" spans="1:15" ht="30" hidden="1">
      <c r="A17">
        <v>16</v>
      </c>
      <c r="B17" t="s">
        <v>700</v>
      </c>
      <c r="C17" t="s">
        <v>477</v>
      </c>
      <c r="D17" t="s">
        <v>467</v>
      </c>
      <c r="E17" s="7" t="s">
        <v>492</v>
      </c>
      <c r="F17" s="7"/>
      <c r="G17" s="7"/>
      <c r="H17" s="7"/>
      <c r="I17" s="7"/>
      <c r="J17" s="7"/>
      <c r="K17" s="7"/>
      <c r="L17" s="7"/>
      <c r="M17" t="s">
        <v>479</v>
      </c>
      <c r="N17" s="7">
        <v>11277</v>
      </c>
      <c r="O17" s="7"/>
    </row>
    <row r="18" spans="1:15" hidden="1">
      <c r="A18">
        <v>17</v>
      </c>
      <c r="B18" t="s">
        <v>701</v>
      </c>
      <c r="C18" t="s">
        <v>477</v>
      </c>
      <c r="D18" t="s">
        <v>467</v>
      </c>
      <c r="E18" s="7" t="s">
        <v>493</v>
      </c>
      <c r="F18" s="7"/>
      <c r="G18" s="7"/>
      <c r="H18" s="7"/>
      <c r="I18" s="7"/>
      <c r="J18" s="7"/>
      <c r="K18" s="7"/>
      <c r="L18" s="7"/>
      <c r="M18" t="s">
        <v>479</v>
      </c>
      <c r="N18" s="7">
        <v>23798</v>
      </c>
      <c r="O18" s="7"/>
    </row>
    <row r="19" spans="1:15" hidden="1">
      <c r="A19">
        <v>18</v>
      </c>
      <c r="B19" t="s">
        <v>702</v>
      </c>
      <c r="C19" t="s">
        <v>477</v>
      </c>
      <c r="D19" t="s">
        <v>467</v>
      </c>
      <c r="E19" s="7" t="s">
        <v>494</v>
      </c>
      <c r="F19" s="7"/>
      <c r="G19" s="7"/>
      <c r="H19" s="7"/>
      <c r="I19" s="7"/>
      <c r="J19" s="7"/>
      <c r="K19" s="7"/>
      <c r="L19" s="7"/>
      <c r="M19" t="s">
        <v>479</v>
      </c>
      <c r="N19" s="7">
        <v>29094</v>
      </c>
      <c r="O19" s="7"/>
    </row>
    <row r="20" spans="1:15" hidden="1">
      <c r="A20">
        <v>19</v>
      </c>
      <c r="B20" t="s">
        <v>703</v>
      </c>
      <c r="C20" t="s">
        <v>477</v>
      </c>
      <c r="D20" t="s">
        <v>467</v>
      </c>
      <c r="E20" s="7" t="s">
        <v>484</v>
      </c>
      <c r="F20" s="7"/>
      <c r="G20" s="7"/>
      <c r="H20" s="7"/>
      <c r="I20" s="7"/>
      <c r="J20" s="7"/>
      <c r="K20" s="7"/>
      <c r="L20" s="7"/>
      <c r="M20" t="s">
        <v>479</v>
      </c>
      <c r="N20" s="7">
        <v>4479</v>
      </c>
      <c r="O20" s="7"/>
    </row>
    <row r="21" spans="1:15" hidden="1">
      <c r="A21">
        <v>20</v>
      </c>
      <c r="B21" t="s">
        <v>704</v>
      </c>
      <c r="C21" t="s">
        <v>477</v>
      </c>
      <c r="D21" t="s">
        <v>467</v>
      </c>
      <c r="E21" s="7" t="s">
        <v>495</v>
      </c>
      <c r="F21" s="7"/>
      <c r="G21" s="7"/>
      <c r="H21" s="7"/>
      <c r="I21" s="7"/>
      <c r="J21" s="7"/>
      <c r="K21" s="7"/>
      <c r="L21" s="7"/>
      <c r="M21" t="s">
        <v>479</v>
      </c>
      <c r="N21" s="7">
        <v>4481</v>
      </c>
      <c r="O21" s="7"/>
    </row>
    <row r="22" spans="1:15" ht="30" hidden="1">
      <c r="A22">
        <v>21</v>
      </c>
      <c r="B22" t="s">
        <v>705</v>
      </c>
      <c r="C22" t="s">
        <v>477</v>
      </c>
      <c r="D22" t="s">
        <v>467</v>
      </c>
      <c r="E22" s="7" t="s">
        <v>496</v>
      </c>
      <c r="F22" s="7"/>
      <c r="G22" s="7"/>
      <c r="H22" s="7"/>
      <c r="I22" s="7"/>
      <c r="J22" s="7"/>
      <c r="K22" s="7"/>
      <c r="L22" s="7"/>
      <c r="M22" t="s">
        <v>479</v>
      </c>
      <c r="N22" s="7">
        <v>5917</v>
      </c>
      <c r="O22" s="7"/>
    </row>
    <row r="23" spans="1:15" hidden="1">
      <c r="A23">
        <v>22</v>
      </c>
      <c r="B23" t="s">
        <v>706</v>
      </c>
      <c r="C23" t="s">
        <v>477</v>
      </c>
      <c r="D23" t="s">
        <v>467</v>
      </c>
      <c r="E23" s="7" t="s">
        <v>497</v>
      </c>
      <c r="F23" s="7"/>
      <c r="G23" s="7"/>
      <c r="H23" s="7"/>
      <c r="I23" s="7"/>
      <c r="J23" s="7"/>
      <c r="K23" s="7"/>
      <c r="L23" s="7"/>
      <c r="M23" t="s">
        <v>479</v>
      </c>
      <c r="N23" s="7">
        <v>11390</v>
      </c>
      <c r="O23" s="7"/>
    </row>
    <row r="24" spans="1:15" hidden="1">
      <c r="A24">
        <v>23</v>
      </c>
      <c r="B24" t="s">
        <v>707</v>
      </c>
      <c r="C24" t="s">
        <v>477</v>
      </c>
      <c r="D24" t="s">
        <v>467</v>
      </c>
      <c r="E24" s="7" t="s">
        <v>498</v>
      </c>
      <c r="F24" s="7"/>
      <c r="G24" s="7"/>
      <c r="H24" s="7"/>
      <c r="I24" s="7"/>
      <c r="J24" s="7"/>
      <c r="K24" s="7"/>
      <c r="L24" s="7"/>
      <c r="M24" t="s">
        <v>479</v>
      </c>
      <c r="N24" s="7">
        <v>24457</v>
      </c>
      <c r="O24" s="7"/>
    </row>
    <row r="25" spans="1:15" hidden="1">
      <c r="A25">
        <v>24</v>
      </c>
      <c r="B25" t="s">
        <v>708</v>
      </c>
      <c r="C25" t="s">
        <v>477</v>
      </c>
      <c r="D25" t="s">
        <v>467</v>
      </c>
      <c r="E25" s="7" t="s">
        <v>498</v>
      </c>
      <c r="F25" s="7"/>
      <c r="G25" s="7"/>
      <c r="H25" s="7"/>
      <c r="I25" s="7"/>
      <c r="J25" s="7"/>
      <c r="K25" s="7"/>
      <c r="L25" s="7"/>
      <c r="M25" t="s">
        <v>479</v>
      </c>
      <c r="N25" s="7"/>
      <c r="O25" s="7"/>
    </row>
    <row r="26" spans="1:15" hidden="1">
      <c r="A26">
        <v>25</v>
      </c>
      <c r="B26" t="s">
        <v>709</v>
      </c>
      <c r="C26" t="s">
        <v>477</v>
      </c>
      <c r="D26" t="s">
        <v>467</v>
      </c>
      <c r="E26" s="7" t="s">
        <v>499</v>
      </c>
      <c r="F26" s="7"/>
      <c r="G26" s="7"/>
      <c r="H26" s="7"/>
      <c r="I26" s="7"/>
      <c r="J26" s="7"/>
      <c r="K26" s="7"/>
      <c r="L26" s="7"/>
      <c r="M26" t="s">
        <v>479</v>
      </c>
      <c r="N26" s="7">
        <v>24443</v>
      </c>
      <c r="O26" s="7"/>
    </row>
    <row r="27" spans="1:15" hidden="1">
      <c r="A27">
        <v>26</v>
      </c>
      <c r="B27" t="s">
        <v>710</v>
      </c>
      <c r="C27" t="s">
        <v>477</v>
      </c>
      <c r="D27" t="s">
        <v>467</v>
      </c>
      <c r="E27" s="7" t="s">
        <v>500</v>
      </c>
      <c r="F27" s="7"/>
      <c r="G27" s="7"/>
      <c r="H27" s="7"/>
      <c r="I27" s="7"/>
      <c r="J27" s="7"/>
      <c r="K27" s="7"/>
      <c r="L27" s="7"/>
      <c r="M27" t="s">
        <v>479</v>
      </c>
      <c r="N27" s="7">
        <v>4495</v>
      </c>
      <c r="O27" s="7"/>
    </row>
    <row r="28" spans="1:15" hidden="1">
      <c r="A28">
        <v>27</v>
      </c>
      <c r="B28" t="s">
        <v>711</v>
      </c>
      <c r="C28" t="s">
        <v>477</v>
      </c>
      <c r="D28" t="s">
        <v>467</v>
      </c>
      <c r="E28" s="7" t="s">
        <v>501</v>
      </c>
      <c r="F28" s="7"/>
      <c r="G28" s="7"/>
      <c r="H28" s="7"/>
      <c r="I28" s="7"/>
      <c r="J28" s="7"/>
      <c r="K28" s="7"/>
      <c r="L28" s="7"/>
      <c r="M28" t="s">
        <v>479</v>
      </c>
      <c r="N28" s="7">
        <v>24837</v>
      </c>
      <c r="O28" s="7"/>
    </row>
    <row r="29" spans="1:15" hidden="1">
      <c r="A29">
        <v>28</v>
      </c>
      <c r="B29" t="s">
        <v>712</v>
      </c>
      <c r="C29" t="s">
        <v>477</v>
      </c>
      <c r="D29" t="s">
        <v>467</v>
      </c>
      <c r="E29" s="7" t="s">
        <v>502</v>
      </c>
      <c r="F29" s="7"/>
      <c r="G29" s="7"/>
      <c r="H29" s="7"/>
      <c r="I29" s="7"/>
      <c r="J29" s="7"/>
      <c r="K29" s="7"/>
      <c r="L29" s="7"/>
      <c r="M29" t="s">
        <v>479</v>
      </c>
      <c r="N29" s="7">
        <v>11723</v>
      </c>
      <c r="O29" s="7"/>
    </row>
    <row r="30" spans="1:15" hidden="1">
      <c r="A30">
        <v>29</v>
      </c>
      <c r="B30" t="s">
        <v>713</v>
      </c>
      <c r="C30" t="s">
        <v>477</v>
      </c>
      <c r="D30" t="s">
        <v>467</v>
      </c>
      <c r="E30" s="7" t="s">
        <v>503</v>
      </c>
      <c r="F30" s="7"/>
      <c r="G30" s="7"/>
      <c r="H30" s="7"/>
      <c r="I30" s="7"/>
      <c r="J30" s="7"/>
      <c r="K30" s="7"/>
      <c r="L30" s="7"/>
      <c r="M30" t="s">
        <v>479</v>
      </c>
      <c r="N30" s="7">
        <v>25127</v>
      </c>
      <c r="O30" s="7"/>
    </row>
    <row r="31" spans="1:15" hidden="1">
      <c r="A31">
        <v>30</v>
      </c>
      <c r="B31" t="s">
        <v>714</v>
      </c>
      <c r="C31" t="s">
        <v>477</v>
      </c>
      <c r="D31" t="s">
        <v>467</v>
      </c>
      <c r="E31" s="7" t="s">
        <v>504</v>
      </c>
      <c r="F31" s="7"/>
      <c r="G31" s="7"/>
      <c r="H31" s="7"/>
      <c r="I31" s="7"/>
      <c r="J31" s="7"/>
      <c r="K31" s="7"/>
      <c r="L31" s="7"/>
      <c r="M31" t="s">
        <v>479</v>
      </c>
      <c r="N31" s="7">
        <v>11805</v>
      </c>
      <c r="O31" s="7"/>
    </row>
    <row r="32" spans="1:15" ht="30" hidden="1">
      <c r="A32">
        <v>31</v>
      </c>
      <c r="B32" t="s">
        <v>715</v>
      </c>
      <c r="C32" t="s">
        <v>477</v>
      </c>
      <c r="D32" t="s">
        <v>467</v>
      </c>
      <c r="E32" s="7" t="s">
        <v>505</v>
      </c>
      <c r="F32" s="7"/>
      <c r="G32" s="7"/>
      <c r="H32" s="7"/>
      <c r="I32" s="7"/>
      <c r="J32" s="7"/>
      <c r="K32" s="7"/>
      <c r="L32" s="7"/>
      <c r="M32" t="s">
        <v>479</v>
      </c>
      <c r="N32" s="7" t="s">
        <v>506</v>
      </c>
      <c r="O32" s="7"/>
    </row>
    <row r="33" spans="1:15" ht="60" hidden="1">
      <c r="A33">
        <v>32</v>
      </c>
      <c r="B33" t="s">
        <v>716</v>
      </c>
      <c r="C33" t="s">
        <v>477</v>
      </c>
      <c r="D33" t="s">
        <v>467</v>
      </c>
      <c r="E33" s="7" t="s">
        <v>507</v>
      </c>
      <c r="F33" s="7"/>
      <c r="G33" s="7"/>
      <c r="H33" s="7"/>
      <c r="I33" s="7"/>
      <c r="J33" s="7"/>
      <c r="K33" s="7"/>
      <c r="L33" s="7"/>
      <c r="M33" t="s">
        <v>479</v>
      </c>
      <c r="N33" s="7" t="s">
        <v>508</v>
      </c>
      <c r="O33" s="7"/>
    </row>
    <row r="34" spans="1:15" hidden="1">
      <c r="A34">
        <v>33</v>
      </c>
      <c r="B34" t="s">
        <v>717</v>
      </c>
      <c r="C34" t="s">
        <v>477</v>
      </c>
      <c r="D34" t="s">
        <v>467</v>
      </c>
      <c r="E34" s="7" t="s">
        <v>509</v>
      </c>
      <c r="F34" s="7"/>
      <c r="G34" s="7"/>
      <c r="H34" s="7"/>
      <c r="I34" s="7"/>
      <c r="J34" s="7"/>
      <c r="K34" s="7"/>
      <c r="L34" s="7"/>
      <c r="M34" t="s">
        <v>479</v>
      </c>
      <c r="N34" s="7">
        <v>4513</v>
      </c>
      <c r="O34" s="7"/>
    </row>
    <row r="35" spans="1:15" ht="60" hidden="1">
      <c r="A35">
        <v>34</v>
      </c>
      <c r="B35" t="s">
        <v>718</v>
      </c>
      <c r="C35" t="s">
        <v>477</v>
      </c>
      <c r="D35" t="s">
        <v>467</v>
      </c>
      <c r="E35" s="7" t="s">
        <v>510</v>
      </c>
      <c r="F35" s="7"/>
      <c r="G35" s="7"/>
      <c r="H35" s="7"/>
      <c r="I35" s="7"/>
      <c r="J35" s="7"/>
      <c r="K35" s="7"/>
      <c r="L35" s="7"/>
      <c r="M35" t="s">
        <v>479</v>
      </c>
      <c r="N35" s="7" t="s">
        <v>511</v>
      </c>
      <c r="O35" s="7"/>
    </row>
    <row r="36" spans="1:15" ht="90" hidden="1">
      <c r="A36">
        <v>35</v>
      </c>
      <c r="B36" t="s">
        <v>719</v>
      </c>
      <c r="C36" t="s">
        <v>477</v>
      </c>
      <c r="D36" t="s">
        <v>467</v>
      </c>
      <c r="E36" s="7" t="s">
        <v>512</v>
      </c>
      <c r="F36" s="7"/>
      <c r="G36" s="7"/>
      <c r="H36" s="7"/>
      <c r="I36" s="7"/>
      <c r="J36" s="7"/>
      <c r="K36" s="7"/>
      <c r="L36" s="7"/>
      <c r="M36" t="s">
        <v>479</v>
      </c>
      <c r="N36" s="7" t="s">
        <v>513</v>
      </c>
      <c r="O36" s="7"/>
    </row>
    <row r="37" spans="1:15" ht="30" hidden="1">
      <c r="A37">
        <v>36</v>
      </c>
      <c r="B37" t="s">
        <v>720</v>
      </c>
      <c r="C37" t="s">
        <v>474</v>
      </c>
      <c r="D37" t="s">
        <v>467</v>
      </c>
      <c r="E37" s="7" t="s">
        <v>514</v>
      </c>
      <c r="F37" s="7"/>
      <c r="G37" s="7"/>
      <c r="H37" s="7"/>
      <c r="I37" s="7"/>
      <c r="J37" s="7"/>
      <c r="K37" s="7"/>
      <c r="L37" s="7"/>
      <c r="M37" t="s">
        <v>515</v>
      </c>
      <c r="N37" s="7"/>
      <c r="O37" s="7"/>
    </row>
    <row r="38" spans="1:15" ht="30" hidden="1">
      <c r="A38">
        <v>37</v>
      </c>
      <c r="B38" t="s">
        <v>721</v>
      </c>
      <c r="C38" t="s">
        <v>516</v>
      </c>
      <c r="D38" t="s">
        <v>467</v>
      </c>
      <c r="E38" s="7" t="s">
        <v>517</v>
      </c>
      <c r="F38" s="7"/>
      <c r="G38" s="7"/>
      <c r="H38" s="7"/>
      <c r="I38" s="7"/>
      <c r="J38" s="7"/>
      <c r="K38" s="7"/>
      <c r="L38" s="7"/>
      <c r="M38" t="s">
        <v>518</v>
      </c>
      <c r="N38" s="7"/>
      <c r="O38" s="7"/>
    </row>
    <row r="39" spans="1:15" ht="30" hidden="1">
      <c r="A39">
        <v>39</v>
      </c>
      <c r="B39" t="s">
        <v>722</v>
      </c>
      <c r="C39" t="s">
        <v>519</v>
      </c>
      <c r="D39" t="s">
        <v>467</v>
      </c>
      <c r="E39" s="7" t="s">
        <v>475</v>
      </c>
      <c r="F39" s="7"/>
      <c r="G39" s="7"/>
      <c r="H39" s="7"/>
      <c r="I39" s="7"/>
      <c r="J39" s="7"/>
      <c r="K39" s="7"/>
      <c r="L39" s="7"/>
      <c r="M39" t="s">
        <v>520</v>
      </c>
      <c r="N39" s="7"/>
      <c r="O39" s="7"/>
    </row>
    <row r="40" spans="1:15" ht="30" hidden="1">
      <c r="A40">
        <v>40</v>
      </c>
      <c r="B40" t="s">
        <v>723</v>
      </c>
      <c r="C40" t="s">
        <v>521</v>
      </c>
      <c r="D40" t="s">
        <v>467</v>
      </c>
      <c r="E40" s="7" t="s">
        <v>522</v>
      </c>
      <c r="F40" s="7"/>
      <c r="G40" s="7"/>
      <c r="H40" s="7"/>
      <c r="I40" s="7"/>
      <c r="J40" s="7"/>
      <c r="K40" s="7"/>
      <c r="L40" s="7"/>
      <c r="M40" t="s">
        <v>523</v>
      </c>
      <c r="N40" s="7"/>
      <c r="O40" s="7"/>
    </row>
    <row r="41" spans="1:15" hidden="1">
      <c r="A41">
        <v>41</v>
      </c>
      <c r="B41" t="s">
        <v>724</v>
      </c>
      <c r="C41" t="s">
        <v>521</v>
      </c>
      <c r="D41" t="s">
        <v>467</v>
      </c>
      <c r="E41" s="7" t="s">
        <v>524</v>
      </c>
      <c r="F41" s="7"/>
      <c r="G41" s="7"/>
      <c r="H41" s="7"/>
      <c r="I41" s="7"/>
      <c r="J41" s="7"/>
      <c r="K41" s="7"/>
      <c r="L41" s="7"/>
      <c r="M41" t="s">
        <v>523</v>
      </c>
      <c r="N41" s="7"/>
      <c r="O41" s="7"/>
    </row>
    <row r="42" spans="1:15" hidden="1">
      <c r="A42">
        <v>42</v>
      </c>
      <c r="B42" t="s">
        <v>725</v>
      </c>
      <c r="C42" t="s">
        <v>525</v>
      </c>
      <c r="D42" t="s">
        <v>467</v>
      </c>
      <c r="E42" s="7" t="s">
        <v>526</v>
      </c>
      <c r="F42" s="7"/>
      <c r="G42" s="7"/>
      <c r="H42" s="7"/>
      <c r="I42" s="7"/>
      <c r="J42" s="7"/>
      <c r="K42" s="7"/>
      <c r="L42" s="7"/>
      <c r="M42" t="s">
        <v>527</v>
      </c>
      <c r="N42" s="7"/>
      <c r="O42" s="7"/>
    </row>
    <row r="43" spans="1:15" hidden="1">
      <c r="A43">
        <v>45</v>
      </c>
      <c r="B43" t="s">
        <v>726</v>
      </c>
      <c r="C43" t="s">
        <v>528</v>
      </c>
      <c r="D43" t="s">
        <v>467</v>
      </c>
      <c r="E43" s="7" t="s">
        <v>529</v>
      </c>
      <c r="F43" s="7"/>
      <c r="G43" s="7"/>
      <c r="H43" s="7"/>
      <c r="I43" s="7"/>
      <c r="J43" s="7"/>
      <c r="K43" s="7"/>
      <c r="L43" s="7"/>
      <c r="M43" t="s">
        <v>530</v>
      </c>
      <c r="N43" s="7"/>
      <c r="O43" s="7"/>
    </row>
    <row r="44" spans="1:15" hidden="1">
      <c r="A44">
        <v>46</v>
      </c>
      <c r="B44" t="s">
        <v>727</v>
      </c>
      <c r="C44" t="s">
        <v>528</v>
      </c>
      <c r="D44" t="s">
        <v>467</v>
      </c>
      <c r="E44" s="7" t="s">
        <v>531</v>
      </c>
      <c r="F44" s="7"/>
      <c r="G44" s="7"/>
      <c r="H44" s="7"/>
      <c r="I44" s="7"/>
      <c r="J44" s="7"/>
      <c r="K44" s="7"/>
      <c r="L44" s="7"/>
      <c r="M44" t="s">
        <v>530</v>
      </c>
      <c r="N44" s="7"/>
      <c r="O44" s="7"/>
    </row>
    <row r="45" spans="1:15" ht="60" hidden="1">
      <c r="A45">
        <v>47</v>
      </c>
      <c r="B45" t="s">
        <v>728</v>
      </c>
      <c r="C45" t="s">
        <v>477</v>
      </c>
      <c r="D45" t="s">
        <v>467</v>
      </c>
      <c r="E45" s="7" t="s">
        <v>532</v>
      </c>
      <c r="F45" s="7"/>
      <c r="G45" s="7"/>
      <c r="H45" s="7"/>
      <c r="I45" s="7"/>
      <c r="J45" s="7"/>
      <c r="K45" s="7"/>
      <c r="L45" s="7"/>
      <c r="M45" t="s">
        <v>533</v>
      </c>
      <c r="N45" s="7" t="s">
        <v>534</v>
      </c>
      <c r="O45" s="7"/>
    </row>
    <row r="46" spans="1:15" ht="45" hidden="1">
      <c r="A46">
        <v>48</v>
      </c>
      <c r="B46" t="s">
        <v>729</v>
      </c>
      <c r="C46" t="s">
        <v>535</v>
      </c>
      <c r="D46" t="s">
        <v>467</v>
      </c>
      <c r="E46" s="7" t="s">
        <v>536</v>
      </c>
      <c r="F46" s="7"/>
      <c r="G46" s="7"/>
      <c r="H46" s="7"/>
      <c r="I46" s="7"/>
      <c r="J46" s="7"/>
      <c r="K46" s="7"/>
      <c r="L46" s="7"/>
      <c r="M46" t="s">
        <v>537</v>
      </c>
      <c r="N46" s="7" t="s">
        <v>538</v>
      </c>
      <c r="O46" s="7"/>
    </row>
    <row r="47" spans="1:15" hidden="1">
      <c r="A47">
        <v>49</v>
      </c>
      <c r="B47" t="s">
        <v>730</v>
      </c>
      <c r="C47" t="s">
        <v>539</v>
      </c>
      <c r="D47" t="s">
        <v>467</v>
      </c>
      <c r="E47" s="7" t="s">
        <v>540</v>
      </c>
      <c r="F47" s="7"/>
      <c r="G47" s="7"/>
      <c r="H47" s="7"/>
      <c r="I47" s="7"/>
      <c r="J47" s="7"/>
      <c r="K47" s="7"/>
      <c r="L47" s="7"/>
      <c r="M47" t="s">
        <v>541</v>
      </c>
      <c r="N47" s="7"/>
      <c r="O47" s="7"/>
    </row>
    <row r="48" spans="1:15" hidden="1">
      <c r="A48">
        <v>50</v>
      </c>
      <c r="B48" t="s">
        <v>731</v>
      </c>
      <c r="C48" t="s">
        <v>542</v>
      </c>
      <c r="D48" t="s">
        <v>467</v>
      </c>
      <c r="E48" s="7" t="s">
        <v>543</v>
      </c>
      <c r="F48" s="7"/>
      <c r="G48" s="7"/>
      <c r="H48" s="7"/>
      <c r="I48" s="7"/>
      <c r="J48" s="7"/>
      <c r="K48" s="7"/>
      <c r="L48" s="7"/>
      <c r="M48" t="s">
        <v>544</v>
      </c>
      <c r="N48" s="7"/>
      <c r="O48" s="7"/>
    </row>
    <row r="49" spans="1:15" hidden="1">
      <c r="A49">
        <v>51</v>
      </c>
      <c r="B49" t="s">
        <v>732</v>
      </c>
      <c r="C49" t="s">
        <v>545</v>
      </c>
      <c r="D49" t="s">
        <v>467</v>
      </c>
      <c r="E49" s="7" t="s">
        <v>543</v>
      </c>
      <c r="F49" s="7"/>
      <c r="G49" s="7"/>
      <c r="H49" s="7"/>
      <c r="I49" s="7"/>
      <c r="J49" s="7"/>
      <c r="K49" s="7"/>
      <c r="L49" s="7"/>
      <c r="M49" t="s">
        <v>546</v>
      </c>
      <c r="N49" s="7"/>
      <c r="O49" s="7"/>
    </row>
    <row r="50" spans="1:15" ht="30" hidden="1">
      <c r="A50">
        <v>52</v>
      </c>
      <c r="B50" t="s">
        <v>733</v>
      </c>
      <c r="C50" t="s">
        <v>547</v>
      </c>
      <c r="D50" t="s">
        <v>467</v>
      </c>
      <c r="E50" s="7" t="s">
        <v>548</v>
      </c>
      <c r="F50" s="7"/>
      <c r="G50" s="7"/>
      <c r="H50" s="7"/>
      <c r="I50" s="7"/>
      <c r="J50" s="7"/>
      <c r="K50" s="7"/>
      <c r="L50" s="7"/>
      <c r="M50" t="s">
        <v>549</v>
      </c>
      <c r="N50" s="7"/>
      <c r="O50" s="7"/>
    </row>
    <row r="51" spans="1:15" ht="60" hidden="1">
      <c r="A51">
        <v>53</v>
      </c>
      <c r="B51" t="s">
        <v>734</v>
      </c>
      <c r="C51" t="s">
        <v>550</v>
      </c>
      <c r="D51" t="s">
        <v>467</v>
      </c>
      <c r="E51" s="7" t="s">
        <v>551</v>
      </c>
      <c r="F51" s="7"/>
      <c r="G51" s="7"/>
      <c r="H51" s="7"/>
      <c r="I51" s="7"/>
      <c r="J51" s="7"/>
      <c r="K51" s="7"/>
      <c r="L51" s="7"/>
      <c r="M51" t="s">
        <v>552</v>
      </c>
      <c r="N51" s="7"/>
      <c r="O51" s="7"/>
    </row>
    <row r="52" spans="1:15" ht="90" hidden="1">
      <c r="A52">
        <v>54</v>
      </c>
      <c r="B52" t="s">
        <v>735</v>
      </c>
      <c r="C52" t="s">
        <v>553</v>
      </c>
      <c r="D52" t="s">
        <v>467</v>
      </c>
      <c r="E52" s="7" t="s">
        <v>554</v>
      </c>
      <c r="F52" s="7"/>
      <c r="G52" s="7"/>
      <c r="H52" s="7"/>
      <c r="I52" s="7"/>
      <c r="J52" s="7"/>
      <c r="K52" s="7"/>
      <c r="L52" s="7"/>
      <c r="M52" t="s">
        <v>555</v>
      </c>
      <c r="N52" s="7"/>
      <c r="O52" s="7"/>
    </row>
    <row r="53" spans="1:15" hidden="1">
      <c r="A53">
        <v>55</v>
      </c>
      <c r="B53" t="s">
        <v>736</v>
      </c>
      <c r="C53" t="s">
        <v>556</v>
      </c>
      <c r="D53" t="s">
        <v>467</v>
      </c>
      <c r="E53" s="7" t="s">
        <v>557</v>
      </c>
      <c r="F53" s="7"/>
      <c r="G53" s="7"/>
      <c r="H53" s="7"/>
      <c r="I53" s="7"/>
      <c r="J53" s="7"/>
      <c r="K53" s="7"/>
      <c r="L53" s="7"/>
      <c r="M53" t="s">
        <v>558</v>
      </c>
      <c r="N53" s="7"/>
      <c r="O53" s="7"/>
    </row>
    <row r="54" spans="1:15" hidden="1">
      <c r="A54">
        <v>56</v>
      </c>
      <c r="B54" t="s">
        <v>737</v>
      </c>
      <c r="C54" t="s">
        <v>559</v>
      </c>
      <c r="D54" t="s">
        <v>467</v>
      </c>
      <c r="E54" s="7" t="s">
        <v>557</v>
      </c>
      <c r="F54" s="7"/>
      <c r="G54" s="7"/>
      <c r="H54" s="7"/>
      <c r="I54" s="7"/>
      <c r="J54" s="7"/>
      <c r="K54" s="7"/>
      <c r="L54" s="7"/>
      <c r="M54" t="s">
        <v>560</v>
      </c>
      <c r="N54" s="7"/>
      <c r="O54" s="7"/>
    </row>
    <row r="55" spans="1:15" hidden="1">
      <c r="A55">
        <v>57</v>
      </c>
      <c r="B55" t="s">
        <v>738</v>
      </c>
      <c r="C55" t="s">
        <v>561</v>
      </c>
      <c r="D55" t="s">
        <v>467</v>
      </c>
      <c r="E55" s="7" t="s">
        <v>557</v>
      </c>
      <c r="F55" s="7"/>
      <c r="G55" s="7"/>
      <c r="H55" s="7"/>
      <c r="I55" s="7"/>
      <c r="J55" s="7"/>
      <c r="K55" s="7"/>
      <c r="L55" s="7"/>
      <c r="M55" t="s">
        <v>562</v>
      </c>
      <c r="N55" s="7"/>
      <c r="O55" s="7"/>
    </row>
    <row r="56" spans="1:15" hidden="1">
      <c r="A56">
        <v>58</v>
      </c>
      <c r="B56" t="s">
        <v>739</v>
      </c>
      <c r="C56" t="s">
        <v>563</v>
      </c>
      <c r="D56" t="s">
        <v>467</v>
      </c>
      <c r="E56" s="7" t="s">
        <v>557</v>
      </c>
      <c r="F56" s="7"/>
      <c r="G56" s="7"/>
      <c r="H56" s="7"/>
      <c r="I56" s="7"/>
      <c r="J56" s="7"/>
      <c r="K56" s="7"/>
      <c r="L56" s="7"/>
      <c r="M56" t="s">
        <v>564</v>
      </c>
      <c r="N56" s="7"/>
      <c r="O56" s="7"/>
    </row>
    <row r="57" spans="1:15" hidden="1">
      <c r="A57">
        <v>59</v>
      </c>
      <c r="B57" t="s">
        <v>740</v>
      </c>
      <c r="C57" t="s">
        <v>477</v>
      </c>
      <c r="D57" t="s">
        <v>467</v>
      </c>
      <c r="E57" s="7" t="s">
        <v>565</v>
      </c>
      <c r="F57" s="7"/>
      <c r="G57" s="7"/>
      <c r="H57" s="7"/>
      <c r="I57" s="7"/>
      <c r="J57" s="7"/>
      <c r="K57" s="7"/>
      <c r="L57" s="7"/>
      <c r="M57" t="s">
        <v>533</v>
      </c>
      <c r="N57" s="7"/>
      <c r="O57" s="7"/>
    </row>
    <row r="58" spans="1:15" ht="30" hidden="1">
      <c r="A58">
        <v>60</v>
      </c>
      <c r="B58" t="s">
        <v>741</v>
      </c>
      <c r="C58" t="s">
        <v>566</v>
      </c>
      <c r="D58" t="s">
        <v>467</v>
      </c>
      <c r="E58" s="7" t="s">
        <v>567</v>
      </c>
      <c r="F58" s="7"/>
      <c r="G58" s="7"/>
      <c r="H58" s="7"/>
      <c r="I58" s="7"/>
      <c r="J58" s="7"/>
      <c r="K58" s="7"/>
      <c r="L58" s="7"/>
      <c r="M58" t="s">
        <v>568</v>
      </c>
      <c r="N58" s="7"/>
      <c r="O58" s="7"/>
    </row>
    <row r="59" spans="1:15" ht="30" hidden="1">
      <c r="A59">
        <v>61</v>
      </c>
      <c r="B59" t="s">
        <v>742</v>
      </c>
      <c r="C59" t="s">
        <v>569</v>
      </c>
      <c r="D59" t="s">
        <v>467</v>
      </c>
      <c r="E59" s="7" t="s">
        <v>567</v>
      </c>
      <c r="F59" s="7"/>
      <c r="G59" s="7"/>
      <c r="H59" s="7"/>
      <c r="I59" s="7"/>
      <c r="J59" s="7"/>
      <c r="K59" s="7"/>
      <c r="L59" s="7"/>
      <c r="M59" t="s">
        <v>570</v>
      </c>
      <c r="N59" s="7"/>
      <c r="O59" s="7"/>
    </row>
    <row r="60" spans="1:15" ht="30" hidden="1">
      <c r="A60">
        <v>62</v>
      </c>
      <c r="B60" t="s">
        <v>743</v>
      </c>
      <c r="C60" t="s">
        <v>571</v>
      </c>
      <c r="D60" t="s">
        <v>467</v>
      </c>
      <c r="E60" s="7" t="s">
        <v>567</v>
      </c>
      <c r="F60" s="7"/>
      <c r="G60" s="7"/>
      <c r="H60" s="7"/>
      <c r="I60" s="7"/>
      <c r="J60" s="7"/>
      <c r="K60" s="7"/>
      <c r="L60" s="7"/>
      <c r="M60" t="s">
        <v>572</v>
      </c>
      <c r="N60" s="7"/>
      <c r="O60" s="7"/>
    </row>
    <row r="61" spans="1:15" ht="30" hidden="1">
      <c r="A61">
        <v>63</v>
      </c>
      <c r="B61" t="s">
        <v>744</v>
      </c>
      <c r="C61" t="s">
        <v>471</v>
      </c>
      <c r="D61" t="s">
        <v>467</v>
      </c>
      <c r="E61" s="7" t="s">
        <v>472</v>
      </c>
      <c r="F61" s="7"/>
      <c r="G61" s="7"/>
      <c r="H61" s="7"/>
      <c r="I61" s="7"/>
      <c r="J61" s="7"/>
      <c r="K61" s="7"/>
      <c r="L61" s="7"/>
      <c r="M61" t="s">
        <v>473</v>
      </c>
      <c r="N61" s="7"/>
      <c r="O61" s="7"/>
    </row>
    <row r="62" spans="1:15" hidden="1">
      <c r="A62">
        <v>64</v>
      </c>
      <c r="B62" t="s">
        <v>745</v>
      </c>
      <c r="C62" t="s">
        <v>477</v>
      </c>
      <c r="D62" t="s">
        <v>467</v>
      </c>
      <c r="E62" s="7" t="s">
        <v>573</v>
      </c>
      <c r="F62" s="7"/>
      <c r="G62" s="7"/>
      <c r="H62" s="7"/>
      <c r="I62" s="7"/>
      <c r="J62" s="7"/>
      <c r="K62" s="7"/>
      <c r="L62" s="7"/>
      <c r="M62" t="s">
        <v>533</v>
      </c>
      <c r="N62" s="7">
        <v>272</v>
      </c>
      <c r="O62" s="7"/>
    </row>
    <row r="63" spans="1:15" ht="30" hidden="1">
      <c r="A63">
        <v>65</v>
      </c>
      <c r="B63" t="s">
        <v>746</v>
      </c>
      <c r="C63" t="s">
        <v>477</v>
      </c>
      <c r="D63" t="s">
        <v>467</v>
      </c>
      <c r="E63" s="7" t="s">
        <v>574</v>
      </c>
      <c r="F63" s="7"/>
      <c r="G63" s="7"/>
      <c r="H63" s="7"/>
      <c r="I63" s="7"/>
      <c r="J63" s="7"/>
      <c r="K63" s="7"/>
      <c r="L63" s="7"/>
      <c r="M63" t="s">
        <v>575</v>
      </c>
      <c r="N63" s="7">
        <v>4555</v>
      </c>
      <c r="O63" s="7"/>
    </row>
    <row r="64" spans="1:15" ht="30" hidden="1">
      <c r="A64">
        <v>66</v>
      </c>
      <c r="B64" t="s">
        <v>747</v>
      </c>
      <c r="C64" t="s">
        <v>477</v>
      </c>
      <c r="D64" t="s">
        <v>467</v>
      </c>
      <c r="E64" s="7" t="s">
        <v>576</v>
      </c>
      <c r="F64" s="7"/>
      <c r="G64" s="7"/>
      <c r="H64" s="7"/>
      <c r="I64" s="7"/>
      <c r="J64" s="7"/>
      <c r="K64" s="7"/>
      <c r="L64" s="7"/>
      <c r="M64" t="s">
        <v>575</v>
      </c>
      <c r="N64" s="7">
        <v>4559</v>
      </c>
      <c r="O64" s="7"/>
    </row>
    <row r="65" spans="1:15" ht="60" hidden="1">
      <c r="A65">
        <v>67</v>
      </c>
      <c r="B65" t="s">
        <v>748</v>
      </c>
      <c r="C65" t="s">
        <v>577</v>
      </c>
      <c r="D65" t="s">
        <v>467</v>
      </c>
      <c r="E65" s="7" t="s">
        <v>578</v>
      </c>
      <c r="F65" s="7"/>
      <c r="G65" s="7"/>
      <c r="H65" s="7"/>
      <c r="I65" s="7"/>
      <c r="J65" s="7"/>
      <c r="K65" s="7"/>
      <c r="L65" s="7"/>
      <c r="M65" t="s">
        <v>579</v>
      </c>
      <c r="N65" s="7" t="s">
        <v>580</v>
      </c>
      <c r="O65" s="7"/>
    </row>
    <row r="66" spans="1:15" ht="45" hidden="1">
      <c r="A66">
        <v>68</v>
      </c>
      <c r="B66" t="s">
        <v>749</v>
      </c>
      <c r="C66" t="s">
        <v>525</v>
      </c>
      <c r="D66" t="s">
        <v>467</v>
      </c>
      <c r="E66" s="7" t="s">
        <v>581</v>
      </c>
      <c r="F66" s="7"/>
      <c r="G66" s="7"/>
      <c r="H66" s="7"/>
      <c r="I66" s="7"/>
      <c r="J66" s="7"/>
      <c r="K66" s="7"/>
      <c r="L66" s="7"/>
      <c r="M66" t="s">
        <v>527</v>
      </c>
      <c r="N66" s="7" t="s">
        <v>582</v>
      </c>
      <c r="O66" s="7"/>
    </row>
    <row r="67" spans="1:15" ht="30" hidden="1">
      <c r="A67">
        <v>69</v>
      </c>
      <c r="B67" t="s">
        <v>750</v>
      </c>
      <c r="C67" t="s">
        <v>583</v>
      </c>
      <c r="D67" t="s">
        <v>467</v>
      </c>
      <c r="E67" s="7" t="s">
        <v>584</v>
      </c>
      <c r="F67" s="7"/>
      <c r="G67" s="7"/>
      <c r="H67" s="7"/>
      <c r="I67" s="7"/>
      <c r="J67" s="7"/>
      <c r="K67" s="7"/>
      <c r="L67" s="7"/>
      <c r="M67" t="s">
        <v>585</v>
      </c>
      <c r="N67" s="7"/>
      <c r="O67" s="7"/>
    </row>
    <row r="68" spans="1:15" ht="60" hidden="1">
      <c r="A68">
        <v>71</v>
      </c>
      <c r="B68" t="s">
        <v>751</v>
      </c>
      <c r="C68" t="s">
        <v>583</v>
      </c>
      <c r="D68" t="s">
        <v>586</v>
      </c>
      <c r="E68" s="7"/>
      <c r="F68" s="7"/>
      <c r="G68" s="7"/>
      <c r="H68" s="7"/>
      <c r="I68" s="7"/>
      <c r="J68" s="7"/>
      <c r="K68" s="7"/>
      <c r="L68" s="7"/>
      <c r="M68" t="s">
        <v>587</v>
      </c>
      <c r="N68" s="7" t="s">
        <v>588</v>
      </c>
      <c r="O68" s="7" t="s">
        <v>589</v>
      </c>
    </row>
    <row r="69" spans="1:15" ht="60" hidden="1">
      <c r="A69">
        <v>75</v>
      </c>
      <c r="B69" t="s">
        <v>752</v>
      </c>
      <c r="C69" t="s">
        <v>590</v>
      </c>
      <c r="D69" t="s">
        <v>591</v>
      </c>
      <c r="E69" s="7" t="s">
        <v>592</v>
      </c>
      <c r="F69" s="7"/>
      <c r="G69" s="7"/>
      <c r="H69" s="7"/>
      <c r="I69" s="7"/>
      <c r="J69" s="7"/>
      <c r="K69" s="7"/>
      <c r="L69" s="7"/>
      <c r="M69" t="s">
        <v>593</v>
      </c>
      <c r="N69" s="7" t="s">
        <v>588</v>
      </c>
      <c r="O69" s="7" t="s">
        <v>594</v>
      </c>
    </row>
    <row r="70" spans="1:15" ht="60" hidden="1">
      <c r="A70">
        <v>76</v>
      </c>
      <c r="B70" t="s">
        <v>753</v>
      </c>
      <c r="C70" t="s">
        <v>525</v>
      </c>
      <c r="D70" t="s">
        <v>591</v>
      </c>
      <c r="E70" s="7" t="s">
        <v>595</v>
      </c>
      <c r="F70" s="7"/>
      <c r="G70" s="7"/>
      <c r="H70" s="7"/>
      <c r="I70" s="7"/>
      <c r="J70" s="7"/>
      <c r="K70" s="7"/>
      <c r="L70" s="7"/>
      <c r="M70" t="s">
        <v>527</v>
      </c>
      <c r="N70" s="7" t="s">
        <v>588</v>
      </c>
      <c r="O70" s="7" t="s">
        <v>596</v>
      </c>
    </row>
    <row r="71" spans="1:15" ht="60" hidden="1">
      <c r="A71">
        <v>77</v>
      </c>
      <c r="B71" t="s">
        <v>754</v>
      </c>
      <c r="C71" t="s">
        <v>525</v>
      </c>
      <c r="D71" t="s">
        <v>591</v>
      </c>
      <c r="E71" s="7" t="s">
        <v>597</v>
      </c>
      <c r="F71" s="7"/>
      <c r="G71" s="7"/>
      <c r="H71" s="7"/>
      <c r="I71" s="7"/>
      <c r="J71" s="7"/>
      <c r="K71" s="7"/>
      <c r="L71" s="7"/>
      <c r="M71" t="s">
        <v>527</v>
      </c>
      <c r="N71" s="7" t="s">
        <v>588</v>
      </c>
      <c r="O71" s="7" t="s">
        <v>598</v>
      </c>
    </row>
    <row r="72" spans="1:15" ht="60" hidden="1">
      <c r="A72">
        <v>78</v>
      </c>
      <c r="B72" t="s">
        <v>755</v>
      </c>
      <c r="C72" t="s">
        <v>525</v>
      </c>
      <c r="D72" t="s">
        <v>591</v>
      </c>
      <c r="E72" s="7" t="s">
        <v>599</v>
      </c>
      <c r="F72" s="7"/>
      <c r="G72" s="7"/>
      <c r="H72" s="7"/>
      <c r="I72" s="7"/>
      <c r="J72" s="7"/>
      <c r="K72" s="7"/>
      <c r="L72" s="7"/>
      <c r="M72" t="s">
        <v>600</v>
      </c>
      <c r="N72" s="7" t="s">
        <v>588</v>
      </c>
      <c r="O72" s="7" t="s">
        <v>601</v>
      </c>
    </row>
    <row r="73" spans="1:15" ht="60" hidden="1">
      <c r="A73">
        <v>79</v>
      </c>
      <c r="B73" t="s">
        <v>756</v>
      </c>
      <c r="C73" t="s">
        <v>583</v>
      </c>
      <c r="D73" t="s">
        <v>591</v>
      </c>
      <c r="E73" s="7" t="s">
        <v>602</v>
      </c>
      <c r="F73" s="7"/>
      <c r="G73" s="7"/>
      <c r="H73" s="7"/>
      <c r="I73" s="7"/>
      <c r="J73" s="7"/>
      <c r="K73" s="7"/>
      <c r="L73" s="7"/>
      <c r="M73" t="s">
        <v>587</v>
      </c>
      <c r="N73" s="7" t="s">
        <v>588</v>
      </c>
      <c r="O73" s="7" t="s">
        <v>603</v>
      </c>
    </row>
    <row r="74" spans="1:15" hidden="1">
      <c r="A74">
        <v>80</v>
      </c>
      <c r="B74" t="s">
        <v>757</v>
      </c>
      <c r="C74" t="s">
        <v>525</v>
      </c>
      <c r="D74" t="s">
        <v>604</v>
      </c>
      <c r="E74" s="7" t="s">
        <v>605</v>
      </c>
      <c r="F74" s="7"/>
      <c r="G74" s="7"/>
      <c r="H74" s="7"/>
      <c r="I74" s="7"/>
      <c r="J74" s="7"/>
      <c r="K74" s="7"/>
      <c r="L74" s="7"/>
      <c r="M74" t="s">
        <v>606</v>
      </c>
      <c r="N74" s="7" t="s">
        <v>588</v>
      </c>
      <c r="O74" s="7"/>
    </row>
    <row r="75" spans="1:15" ht="60" hidden="1">
      <c r="A75">
        <v>81</v>
      </c>
      <c r="B75" t="s">
        <v>758</v>
      </c>
      <c r="C75" t="s">
        <v>607</v>
      </c>
      <c r="D75" t="s">
        <v>591</v>
      </c>
      <c r="E75" s="7" t="s">
        <v>599</v>
      </c>
      <c r="F75" s="7"/>
      <c r="G75" s="7"/>
      <c r="H75" s="7"/>
      <c r="I75" s="7"/>
      <c r="J75" s="7"/>
      <c r="K75" s="7"/>
      <c r="L75" s="7"/>
      <c r="M75" t="s">
        <v>600</v>
      </c>
      <c r="N75" s="7" t="s">
        <v>588</v>
      </c>
      <c r="O75" s="7" t="s">
        <v>608</v>
      </c>
    </row>
    <row r="76" spans="1:15" ht="75" hidden="1">
      <c r="A76">
        <v>82</v>
      </c>
      <c r="B76" t="s">
        <v>759</v>
      </c>
      <c r="C76" t="s">
        <v>477</v>
      </c>
      <c r="D76" t="s">
        <v>591</v>
      </c>
      <c r="E76" s="7" t="s">
        <v>609</v>
      </c>
      <c r="F76" s="7"/>
      <c r="G76" s="7"/>
      <c r="H76" s="7"/>
      <c r="I76" s="7"/>
      <c r="J76" s="7"/>
      <c r="K76" s="7"/>
      <c r="L76" s="7"/>
      <c r="M76" t="s">
        <v>610</v>
      </c>
      <c r="N76" s="7" t="s">
        <v>588</v>
      </c>
      <c r="O76" s="7" t="s">
        <v>611</v>
      </c>
    </row>
    <row r="77" spans="1:15" hidden="1">
      <c r="A77">
        <v>83</v>
      </c>
      <c r="B77" t="s">
        <v>760</v>
      </c>
      <c r="C77" t="s">
        <v>612</v>
      </c>
      <c r="D77" t="s">
        <v>604</v>
      </c>
      <c r="E77" s="7" t="s">
        <v>613</v>
      </c>
      <c r="F77" s="7"/>
      <c r="G77" s="7"/>
      <c r="H77" s="7"/>
      <c r="I77" s="7"/>
      <c r="J77" s="7"/>
      <c r="K77" s="7"/>
      <c r="L77" s="7"/>
      <c r="M77" t="s">
        <v>614</v>
      </c>
      <c r="N77" s="7"/>
      <c r="O77" s="7">
        <v>985.24</v>
      </c>
    </row>
    <row r="78" spans="1:15" ht="60" hidden="1">
      <c r="A78">
        <v>84</v>
      </c>
      <c r="B78" t="s">
        <v>761</v>
      </c>
      <c r="C78" t="s">
        <v>525</v>
      </c>
      <c r="D78" t="s">
        <v>591</v>
      </c>
      <c r="E78" s="7" t="s">
        <v>615</v>
      </c>
      <c r="F78" s="7"/>
      <c r="G78" s="7"/>
      <c r="H78" s="7"/>
      <c r="I78" s="7"/>
      <c r="J78" s="7"/>
      <c r="K78" s="7"/>
      <c r="L78" s="7"/>
      <c r="M78" t="s">
        <v>527</v>
      </c>
      <c r="N78" s="7" t="s">
        <v>588</v>
      </c>
      <c r="O78" s="7" t="s">
        <v>616</v>
      </c>
    </row>
    <row r="79" spans="1:15" ht="60" hidden="1">
      <c r="A79">
        <v>85</v>
      </c>
      <c r="B79" t="s">
        <v>762</v>
      </c>
      <c r="C79" t="s">
        <v>525</v>
      </c>
      <c r="D79" t="s">
        <v>591</v>
      </c>
      <c r="E79" s="7" t="s">
        <v>617</v>
      </c>
      <c r="F79" s="7"/>
      <c r="G79" s="7"/>
      <c r="H79" s="7"/>
      <c r="I79" s="7"/>
      <c r="J79" s="7"/>
      <c r="K79" s="7"/>
      <c r="L79" s="7"/>
      <c r="M79" t="s">
        <v>527</v>
      </c>
      <c r="N79" s="7">
        <v>101114583</v>
      </c>
      <c r="O79" s="7" t="s">
        <v>618</v>
      </c>
    </row>
    <row r="80" spans="1:15" ht="60" hidden="1">
      <c r="A80">
        <v>86</v>
      </c>
      <c r="B80" t="s">
        <v>763</v>
      </c>
      <c r="C80" t="s">
        <v>525</v>
      </c>
      <c r="D80" t="s">
        <v>591</v>
      </c>
      <c r="E80" s="7" t="s">
        <v>619</v>
      </c>
      <c r="F80" s="7"/>
      <c r="G80" s="7"/>
      <c r="H80" s="7"/>
      <c r="I80" s="7"/>
      <c r="J80" s="7"/>
      <c r="K80" s="7"/>
      <c r="L80" s="7"/>
      <c r="M80" t="s">
        <v>527</v>
      </c>
      <c r="N80" s="7" t="s">
        <v>620</v>
      </c>
      <c r="O80" s="7" t="s">
        <v>621</v>
      </c>
    </row>
    <row r="81" spans="1:15" ht="300" hidden="1">
      <c r="A81">
        <v>87</v>
      </c>
      <c r="B81" t="s">
        <v>764</v>
      </c>
      <c r="C81" t="s">
        <v>622</v>
      </c>
      <c r="D81" t="s">
        <v>591</v>
      </c>
      <c r="E81" s="7" t="s">
        <v>623</v>
      </c>
      <c r="F81" s="7"/>
      <c r="G81" s="7"/>
      <c r="H81" s="7"/>
      <c r="I81" s="7"/>
      <c r="J81" s="7"/>
      <c r="K81" s="7"/>
      <c r="L81" s="7"/>
      <c r="M81" t="s">
        <v>624</v>
      </c>
      <c r="N81" s="7" t="s">
        <v>625</v>
      </c>
      <c r="O81" s="7" t="s">
        <v>626</v>
      </c>
    </row>
    <row r="82" spans="1:15" ht="60" hidden="1">
      <c r="A82">
        <v>88</v>
      </c>
      <c r="B82" t="s">
        <v>765</v>
      </c>
      <c r="C82" t="s">
        <v>471</v>
      </c>
      <c r="D82" t="s">
        <v>591</v>
      </c>
      <c r="E82" s="7" t="s">
        <v>627</v>
      </c>
      <c r="F82" s="7"/>
      <c r="G82" s="7"/>
      <c r="H82" s="7"/>
      <c r="I82" s="7"/>
      <c r="J82" s="7"/>
      <c r="K82" s="7"/>
      <c r="L82" s="7"/>
      <c r="M82" t="s">
        <v>473</v>
      </c>
      <c r="N82" s="7" t="s">
        <v>628</v>
      </c>
      <c r="O82" s="7" t="s">
        <v>629</v>
      </c>
    </row>
    <row r="83" spans="1:15" hidden="1">
      <c r="A83">
        <v>89</v>
      </c>
      <c r="B83" t="s">
        <v>766</v>
      </c>
      <c r="C83" t="s">
        <v>525</v>
      </c>
      <c r="D83" t="s">
        <v>630</v>
      </c>
      <c r="E83" s="7" t="s">
        <v>631</v>
      </c>
      <c r="F83" s="7"/>
      <c r="G83" s="7"/>
      <c r="H83" s="7"/>
      <c r="I83" s="7"/>
      <c r="J83" s="7"/>
      <c r="K83" s="7"/>
      <c r="L83" s="7"/>
      <c r="M83" t="s">
        <v>527</v>
      </c>
      <c r="N83" s="7"/>
      <c r="O83" s="7"/>
    </row>
    <row r="84" spans="1:15" ht="60" hidden="1">
      <c r="A84">
        <v>90</v>
      </c>
      <c r="B84" t="s">
        <v>767</v>
      </c>
      <c r="C84" t="s">
        <v>583</v>
      </c>
      <c r="D84" t="s">
        <v>591</v>
      </c>
      <c r="E84" s="7" t="s">
        <v>632</v>
      </c>
      <c r="F84" s="7"/>
      <c r="G84" s="7"/>
      <c r="H84" s="7"/>
      <c r="I84" s="7"/>
      <c r="J84" s="7"/>
      <c r="K84" s="7"/>
      <c r="L84" s="7"/>
      <c r="M84" t="s">
        <v>587</v>
      </c>
      <c r="N84" s="7" t="s">
        <v>633</v>
      </c>
      <c r="O84" s="7" t="s">
        <v>634</v>
      </c>
    </row>
    <row r="85" spans="1:15" hidden="1">
      <c r="A85">
        <v>91</v>
      </c>
      <c r="B85" t="s">
        <v>768</v>
      </c>
      <c r="C85" t="s">
        <v>471</v>
      </c>
      <c r="D85" t="s">
        <v>604</v>
      </c>
      <c r="E85" s="7" t="s">
        <v>635</v>
      </c>
      <c r="F85" s="7"/>
      <c r="G85" s="7"/>
      <c r="H85" s="7"/>
      <c r="I85" s="7"/>
      <c r="J85" s="7"/>
      <c r="K85" s="7"/>
      <c r="L85" s="7"/>
      <c r="M85" t="s">
        <v>636</v>
      </c>
      <c r="N85" s="7"/>
      <c r="O85" s="7"/>
    </row>
    <row r="86" spans="1:15" hidden="1">
      <c r="A86">
        <v>92</v>
      </c>
      <c r="B86" t="s">
        <v>769</v>
      </c>
      <c r="C86" t="s">
        <v>637</v>
      </c>
      <c r="D86" t="s">
        <v>604</v>
      </c>
      <c r="E86" s="7" t="s">
        <v>638</v>
      </c>
      <c r="F86" s="7"/>
      <c r="G86" s="7"/>
      <c r="H86" s="7"/>
      <c r="I86" s="7"/>
      <c r="J86" s="7"/>
      <c r="K86" s="7"/>
      <c r="L86" s="7"/>
      <c r="M86" t="s">
        <v>639</v>
      </c>
      <c r="N86" s="7"/>
      <c r="O86" s="7"/>
    </row>
    <row r="87" spans="1:15" ht="60" hidden="1">
      <c r="A87">
        <v>93</v>
      </c>
      <c r="B87" t="s">
        <v>770</v>
      </c>
      <c r="C87" t="s">
        <v>525</v>
      </c>
      <c r="D87" t="s">
        <v>591</v>
      </c>
      <c r="E87" s="7" t="s">
        <v>640</v>
      </c>
      <c r="F87" s="7"/>
      <c r="G87" s="7"/>
      <c r="H87" s="7"/>
      <c r="I87" s="7"/>
      <c r="J87" s="7"/>
      <c r="K87" s="7"/>
      <c r="L87" s="7"/>
      <c r="M87" t="s">
        <v>527</v>
      </c>
      <c r="N87" s="7" t="s">
        <v>641</v>
      </c>
      <c r="O87" s="7" t="s">
        <v>642</v>
      </c>
    </row>
    <row r="88" spans="1:15" ht="60" hidden="1">
      <c r="A88">
        <v>94</v>
      </c>
      <c r="B88" t="s">
        <v>771</v>
      </c>
      <c r="C88" t="s">
        <v>643</v>
      </c>
      <c r="D88" t="s">
        <v>591</v>
      </c>
      <c r="E88" s="7" t="s">
        <v>644</v>
      </c>
      <c r="F88" s="7"/>
      <c r="G88" s="7"/>
      <c r="H88" s="7"/>
      <c r="I88" s="7"/>
      <c r="J88" s="7"/>
      <c r="K88" s="7"/>
      <c r="L88" s="7"/>
      <c r="M88" t="s">
        <v>645</v>
      </c>
      <c r="N88" s="7" t="s">
        <v>646</v>
      </c>
      <c r="O88" s="7" t="s">
        <v>647</v>
      </c>
    </row>
    <row r="89" spans="1:15" hidden="1">
      <c r="A89">
        <v>95</v>
      </c>
      <c r="B89" t="s">
        <v>772</v>
      </c>
      <c r="C89" t="s">
        <v>648</v>
      </c>
      <c r="D89" t="s">
        <v>604</v>
      </c>
      <c r="E89" s="7" t="s">
        <v>649</v>
      </c>
      <c r="F89" s="7"/>
      <c r="G89" s="7"/>
      <c r="H89" s="7"/>
      <c r="I89" s="7"/>
      <c r="J89" s="7"/>
      <c r="K89" s="7"/>
      <c r="L89" s="7"/>
      <c r="M89" t="s">
        <v>650</v>
      </c>
      <c r="N89" s="7"/>
      <c r="O89" s="7"/>
    </row>
    <row r="90" spans="1:15" ht="60" hidden="1">
      <c r="A90">
        <v>96</v>
      </c>
      <c r="B90" t="s">
        <v>773</v>
      </c>
      <c r="C90" t="s">
        <v>525</v>
      </c>
      <c r="D90" t="s">
        <v>591</v>
      </c>
      <c r="E90" s="7" t="s">
        <v>651</v>
      </c>
      <c r="F90" s="7"/>
      <c r="G90" s="7"/>
      <c r="H90" s="7"/>
      <c r="I90" s="7"/>
      <c r="J90" s="7"/>
      <c r="K90" s="7"/>
      <c r="L90" s="7"/>
      <c r="M90" t="s">
        <v>527</v>
      </c>
      <c r="N90" s="7">
        <v>101198924</v>
      </c>
      <c r="O90" s="7" t="s">
        <v>652</v>
      </c>
    </row>
    <row r="91" spans="1:15" ht="135" hidden="1">
      <c r="A91">
        <v>102</v>
      </c>
      <c r="B91" t="s">
        <v>774</v>
      </c>
      <c r="C91" t="s">
        <v>653</v>
      </c>
      <c r="D91" t="s">
        <v>604</v>
      </c>
      <c r="E91" s="7" t="s">
        <v>654</v>
      </c>
      <c r="F91" s="7"/>
      <c r="G91" s="7"/>
      <c r="H91" s="7"/>
      <c r="I91" s="7"/>
      <c r="J91" s="7"/>
      <c r="K91" s="7"/>
      <c r="L91" s="7"/>
      <c r="M91" t="s">
        <v>655</v>
      </c>
      <c r="N91" s="7" t="s">
        <v>656</v>
      </c>
      <c r="O91" s="7" t="s">
        <v>657</v>
      </c>
    </row>
    <row r="92" spans="1:15" ht="60">
      <c r="A92">
        <v>103</v>
      </c>
      <c r="B92" t="s">
        <v>775</v>
      </c>
      <c r="C92" t="s">
        <v>471</v>
      </c>
      <c r="D92" t="s">
        <v>591</v>
      </c>
      <c r="E92" s="7" t="s">
        <v>658</v>
      </c>
      <c r="F92" s="7"/>
      <c r="G92" s="7"/>
      <c r="H92" s="7"/>
      <c r="I92" s="7"/>
      <c r="J92" s="7"/>
      <c r="K92" s="7"/>
      <c r="L92" s="7"/>
      <c r="M92" t="s">
        <v>473</v>
      </c>
      <c r="N92" s="7" t="s">
        <v>659</v>
      </c>
      <c r="O92" s="7" t="s">
        <v>660</v>
      </c>
    </row>
    <row r="93" spans="1:15" ht="60">
      <c r="A93">
        <v>104</v>
      </c>
      <c r="B93" t="s">
        <v>776</v>
      </c>
      <c r="C93" t="s">
        <v>525</v>
      </c>
      <c r="D93" t="s">
        <v>591</v>
      </c>
      <c r="E93" s="7" t="s">
        <v>661</v>
      </c>
      <c r="F93" s="7"/>
      <c r="G93" s="7"/>
      <c r="H93" s="7"/>
      <c r="I93" s="7"/>
      <c r="J93" s="7"/>
      <c r="K93" s="7"/>
      <c r="L93" s="7"/>
      <c r="M93" t="s">
        <v>527</v>
      </c>
      <c r="N93" s="7">
        <v>101257626</v>
      </c>
      <c r="O93" s="7" t="s">
        <v>662</v>
      </c>
    </row>
    <row r="94" spans="1:15" ht="60">
      <c r="A94">
        <v>105</v>
      </c>
      <c r="B94" t="s">
        <v>777</v>
      </c>
      <c r="C94" t="s">
        <v>525</v>
      </c>
      <c r="D94" t="s">
        <v>591</v>
      </c>
      <c r="E94" s="7" t="s">
        <v>663</v>
      </c>
      <c r="F94" s="7"/>
      <c r="G94" s="7"/>
      <c r="H94" s="7"/>
      <c r="I94" s="7"/>
      <c r="J94" s="7"/>
      <c r="K94" s="7"/>
      <c r="L94" s="7"/>
      <c r="M94" t="s">
        <v>527</v>
      </c>
      <c r="N94" s="7" t="s">
        <v>664</v>
      </c>
      <c r="O94" s="7" t="s">
        <v>665</v>
      </c>
    </row>
    <row r="95" spans="1:15" ht="60">
      <c r="A95">
        <v>106</v>
      </c>
      <c r="B95" t="s">
        <v>778</v>
      </c>
      <c r="C95" t="s">
        <v>525</v>
      </c>
      <c r="D95" t="s">
        <v>591</v>
      </c>
      <c r="E95" s="7" t="s">
        <v>666</v>
      </c>
      <c r="F95" s="7"/>
      <c r="G95" s="7"/>
      <c r="H95" s="7"/>
      <c r="I95" s="7"/>
      <c r="J95" s="7"/>
      <c r="K95" s="7"/>
      <c r="L95" s="7"/>
      <c r="M95" t="s">
        <v>527</v>
      </c>
      <c r="N95" s="7">
        <v>101287687</v>
      </c>
      <c r="O95" s="7" t="s">
        <v>667</v>
      </c>
    </row>
    <row r="96" spans="1:15" ht="60">
      <c r="A96">
        <v>107</v>
      </c>
      <c r="B96" t="s">
        <v>779</v>
      </c>
      <c r="C96" t="s">
        <v>471</v>
      </c>
      <c r="D96" t="s">
        <v>591</v>
      </c>
      <c r="E96" s="7" t="s">
        <v>668</v>
      </c>
      <c r="F96" s="7"/>
      <c r="G96" s="7"/>
      <c r="H96" s="7"/>
      <c r="I96" s="7"/>
      <c r="J96" s="7"/>
      <c r="K96" s="7"/>
      <c r="L96" s="7"/>
      <c r="M96" t="s">
        <v>473</v>
      </c>
      <c r="N96" s="7" t="s">
        <v>669</v>
      </c>
      <c r="O96" s="7" t="s">
        <v>670</v>
      </c>
    </row>
    <row r="97" spans="1:15" ht="105">
      <c r="A97">
        <v>108</v>
      </c>
      <c r="B97" t="s">
        <v>780</v>
      </c>
      <c r="C97" t="s">
        <v>671</v>
      </c>
      <c r="D97" t="s">
        <v>591</v>
      </c>
      <c r="E97" s="7" t="s">
        <v>672</v>
      </c>
      <c r="F97" s="7"/>
      <c r="G97" s="7"/>
      <c r="H97" s="7"/>
      <c r="I97" s="7"/>
      <c r="J97" s="7"/>
      <c r="K97" s="7"/>
      <c r="L97" s="7"/>
      <c r="M97" t="s">
        <v>673</v>
      </c>
      <c r="N97" s="7" t="s">
        <v>674</v>
      </c>
      <c r="O97" s="7"/>
    </row>
    <row r="98" spans="1:15" ht="60">
      <c r="A98">
        <v>109</v>
      </c>
      <c r="B98" t="s">
        <v>781</v>
      </c>
      <c r="C98" t="s">
        <v>525</v>
      </c>
      <c r="D98" t="s">
        <v>591</v>
      </c>
      <c r="E98" s="7" t="s">
        <v>675</v>
      </c>
      <c r="F98" s="7"/>
      <c r="G98" s="7"/>
      <c r="H98" s="7"/>
      <c r="I98" s="7"/>
      <c r="J98" s="7"/>
      <c r="K98" s="7"/>
      <c r="L98" s="7"/>
      <c r="M98" t="s">
        <v>527</v>
      </c>
      <c r="N98" s="7" t="s">
        <v>676</v>
      </c>
      <c r="O98" s="7" t="s">
        <v>677</v>
      </c>
    </row>
    <row r="99" spans="1:15" ht="60">
      <c r="A99">
        <v>110</v>
      </c>
      <c r="B99" t="s">
        <v>782</v>
      </c>
      <c r="C99" t="s">
        <v>525</v>
      </c>
      <c r="D99" t="s">
        <v>591</v>
      </c>
      <c r="E99" s="7" t="s">
        <v>678</v>
      </c>
      <c r="F99" s="7"/>
      <c r="G99" s="7"/>
      <c r="H99" s="7"/>
      <c r="I99" s="7"/>
      <c r="J99" s="7"/>
      <c r="K99" s="7"/>
      <c r="L99" s="7"/>
      <c r="M99" t="s">
        <v>527</v>
      </c>
      <c r="N99" s="7" t="s">
        <v>679</v>
      </c>
      <c r="O99" s="7" t="s">
        <v>680</v>
      </c>
    </row>
    <row r="100" spans="1:15" ht="30">
      <c r="A100">
        <v>111</v>
      </c>
      <c r="B100" t="s">
        <v>783</v>
      </c>
      <c r="C100" t="s">
        <v>653</v>
      </c>
      <c r="D100" t="s">
        <v>604</v>
      </c>
      <c r="E100" s="7" t="s">
        <v>681</v>
      </c>
      <c r="F100" s="7"/>
      <c r="G100" s="7"/>
      <c r="H100" s="7"/>
      <c r="I100" s="7"/>
      <c r="J100" s="7"/>
      <c r="K100" s="7"/>
      <c r="L100" s="7"/>
      <c r="M100" t="s">
        <v>682</v>
      </c>
      <c r="N100" s="7"/>
      <c r="O100" s="7" t="s">
        <v>683</v>
      </c>
    </row>
    <row r="101" spans="1:15" ht="30">
      <c r="A101">
        <v>113</v>
      </c>
      <c r="B101" t="s">
        <v>1442</v>
      </c>
      <c r="C101" t="s">
        <v>471</v>
      </c>
      <c r="D101" t="s">
        <v>591</v>
      </c>
      <c r="E101" s="7" t="s">
        <v>1441</v>
      </c>
      <c r="F101" s="7"/>
      <c r="G101" s="7"/>
      <c r="H101" s="7"/>
      <c r="I101" s="7"/>
      <c r="J101" s="7"/>
      <c r="K101" s="7"/>
      <c r="L101" s="7"/>
      <c r="N101" s="7"/>
      <c r="O101" s="7"/>
    </row>
    <row r="102" spans="1:15">
      <c r="A102">
        <v>112</v>
      </c>
      <c r="B102" t="s">
        <v>1446</v>
      </c>
      <c r="C102" t="s">
        <v>525</v>
      </c>
      <c r="D102" t="s">
        <v>591</v>
      </c>
      <c r="E102" s="7" t="s">
        <v>1443</v>
      </c>
      <c r="F102" s="7"/>
      <c r="G102" s="7"/>
      <c r="H102" s="7"/>
      <c r="I102" s="7"/>
      <c r="J102" s="7"/>
      <c r="K102" s="7"/>
      <c r="L102" s="7"/>
      <c r="N102" s="7"/>
      <c r="O102" s="7"/>
    </row>
    <row r="103" spans="1:15">
      <c r="A103">
        <v>114</v>
      </c>
      <c r="B103" t="s">
        <v>1567</v>
      </c>
      <c r="C103" t="s">
        <v>637</v>
      </c>
      <c r="D103" t="s">
        <v>604</v>
      </c>
      <c r="E103" s="7" t="s">
        <v>1568</v>
      </c>
      <c r="F103" s="7"/>
      <c r="G103" s="7"/>
      <c r="H103" s="7"/>
      <c r="I103" s="7"/>
      <c r="J103" s="7"/>
      <c r="K103" s="7"/>
      <c r="L103" s="7"/>
      <c r="M103" t="s">
        <v>639</v>
      </c>
      <c r="N103" s="7" t="s">
        <v>1569</v>
      </c>
      <c r="O103" s="7"/>
    </row>
    <row r="104" spans="1:15" ht="30">
      <c r="A104">
        <v>115</v>
      </c>
      <c r="B104" t="s">
        <v>1607</v>
      </c>
      <c r="C104" t="s">
        <v>525</v>
      </c>
      <c r="D104" t="s">
        <v>591</v>
      </c>
      <c r="E104" s="7" t="s">
        <v>1610</v>
      </c>
      <c r="F104" s="7"/>
      <c r="G104" s="7"/>
      <c r="H104" s="7"/>
      <c r="I104" s="7"/>
      <c r="J104" s="7"/>
      <c r="K104" s="7"/>
      <c r="L104" s="7"/>
      <c r="N104" s="7" t="s">
        <v>1569</v>
      </c>
      <c r="O104" s="7"/>
    </row>
    <row r="105" spans="1:15">
      <c r="A105">
        <v>116</v>
      </c>
      <c r="B105" t="s">
        <v>1608</v>
      </c>
      <c r="C105" t="s">
        <v>583</v>
      </c>
      <c r="D105" t="s">
        <v>591</v>
      </c>
      <c r="E105" s="7" t="s">
        <v>1609</v>
      </c>
      <c r="F105" s="7"/>
      <c r="G105" s="7"/>
      <c r="H105" s="7"/>
      <c r="I105" s="7"/>
      <c r="J105" s="7"/>
      <c r="K105" s="7"/>
      <c r="L105" s="7"/>
      <c r="N105" s="7"/>
      <c r="O105" s="7"/>
    </row>
    <row r="106" spans="1:15" ht="30">
      <c r="A106">
        <v>118</v>
      </c>
      <c r="B106" t="s">
        <v>1681</v>
      </c>
      <c r="C106" t="s">
        <v>471</v>
      </c>
      <c r="D106" t="s">
        <v>591</v>
      </c>
      <c r="E106" s="7" t="s">
        <v>1682</v>
      </c>
      <c r="F106" s="7"/>
      <c r="G106" s="7"/>
      <c r="H106" s="7"/>
      <c r="I106" s="7"/>
      <c r="J106" s="7"/>
      <c r="K106" s="7"/>
      <c r="L106" s="7"/>
      <c r="N106" s="7"/>
      <c r="O106" s="7"/>
    </row>
    <row r="107" spans="1:15">
      <c r="A107">
        <v>119</v>
      </c>
      <c r="B107" t="s">
        <v>1683</v>
      </c>
      <c r="C107" t="s">
        <v>1451</v>
      </c>
      <c r="E107" s="7" t="s">
        <v>1684</v>
      </c>
      <c r="F107" s="7"/>
      <c r="G107" s="7"/>
      <c r="H107" s="7"/>
      <c r="I107" s="7"/>
      <c r="J107" s="7"/>
      <c r="K107" s="7"/>
      <c r="L107" s="7"/>
      <c r="N107" s="7"/>
      <c r="O107" s="7"/>
    </row>
    <row r="108" spans="1:15">
      <c r="A108">
        <v>117</v>
      </c>
      <c r="B108" t="s">
        <v>1685</v>
      </c>
      <c r="C108" t="s">
        <v>648</v>
      </c>
      <c r="D108" t="s">
        <v>604</v>
      </c>
      <c r="E108" s="7" t="s">
        <v>1686</v>
      </c>
      <c r="F108" s="7"/>
      <c r="G108" s="7"/>
      <c r="H108" s="7"/>
      <c r="I108" s="7"/>
      <c r="J108" s="7"/>
      <c r="K108" s="7"/>
      <c r="L108" s="7"/>
      <c r="N108" s="7"/>
      <c r="O108" s="7"/>
    </row>
    <row r="109" spans="1:15">
      <c r="A109" s="48">
        <v>120</v>
      </c>
      <c r="B109" s="48" t="s">
        <v>1752</v>
      </c>
      <c r="C109" s="48" t="s">
        <v>525</v>
      </c>
      <c r="D109" s="48" t="s">
        <v>591</v>
      </c>
      <c r="E109" s="49" t="s">
        <v>1753</v>
      </c>
      <c r="F109" s="49"/>
      <c r="G109" s="49"/>
      <c r="H109" s="49"/>
      <c r="I109" s="49"/>
      <c r="J109" s="49"/>
      <c r="K109" s="49"/>
      <c r="L109" s="49"/>
      <c r="M109" s="48" t="s">
        <v>527</v>
      </c>
      <c r="N109" s="7"/>
      <c r="O109" s="7"/>
    </row>
    <row r="110" spans="1:15" ht="30">
      <c r="A110" s="48">
        <v>121</v>
      </c>
      <c r="B110" s="48" t="s">
        <v>1754</v>
      </c>
      <c r="C110" s="48" t="s">
        <v>471</v>
      </c>
      <c r="D110" s="48" t="s">
        <v>604</v>
      </c>
      <c r="E110" s="49" t="s">
        <v>1755</v>
      </c>
      <c r="F110" s="49"/>
      <c r="G110" s="49"/>
      <c r="H110" s="49"/>
      <c r="I110" s="49"/>
      <c r="J110" s="49"/>
      <c r="K110" s="49"/>
      <c r="L110" s="49"/>
      <c r="M110" s="48" t="s">
        <v>473</v>
      </c>
      <c r="N110" s="7"/>
      <c r="O110" s="7"/>
    </row>
    <row r="111" spans="1:15">
      <c r="A111" s="48">
        <v>122</v>
      </c>
      <c r="B111" s="48" t="s">
        <v>1756</v>
      </c>
      <c r="C111" s="48" t="s">
        <v>637</v>
      </c>
      <c r="D111" s="48" t="s">
        <v>604</v>
      </c>
      <c r="E111" s="49" t="s">
        <v>1757</v>
      </c>
      <c r="F111" s="49"/>
      <c r="G111" s="49"/>
      <c r="H111" s="49"/>
      <c r="I111" s="49"/>
      <c r="J111" s="49"/>
      <c r="K111" s="49"/>
      <c r="L111" s="49"/>
      <c r="M111" s="48"/>
      <c r="N111" s="7"/>
      <c r="O111" s="7"/>
    </row>
    <row r="112" spans="1:15" ht="30">
      <c r="A112" s="48">
        <v>123</v>
      </c>
      <c r="B112" s="48" t="s">
        <v>1758</v>
      </c>
      <c r="C112" s="48" t="s">
        <v>1451</v>
      </c>
      <c r="D112" s="48" t="s">
        <v>591</v>
      </c>
      <c r="E112" s="49" t="s">
        <v>1759</v>
      </c>
      <c r="F112" s="49"/>
      <c r="G112" s="49"/>
      <c r="H112" s="49"/>
      <c r="I112" s="49"/>
      <c r="J112" s="49"/>
      <c r="K112" s="49"/>
      <c r="L112" s="49"/>
      <c r="M112" s="48" t="s">
        <v>527</v>
      </c>
      <c r="N112" s="7"/>
      <c r="O112" s="7"/>
    </row>
    <row r="113" spans="1:15">
      <c r="A113">
        <v>124</v>
      </c>
      <c r="B113" t="s">
        <v>1776</v>
      </c>
      <c r="C113" t="s">
        <v>671</v>
      </c>
      <c r="D113" s="48" t="s">
        <v>591</v>
      </c>
      <c r="E113" s="7" t="s">
        <v>1777</v>
      </c>
      <c r="F113" s="7"/>
      <c r="G113" s="7"/>
      <c r="H113" s="7"/>
      <c r="I113" s="7"/>
      <c r="J113" s="7"/>
      <c r="K113" s="7"/>
      <c r="L113" s="7"/>
      <c r="M113" t="s">
        <v>673</v>
      </c>
      <c r="N113" s="7"/>
      <c r="O113" s="7"/>
    </row>
    <row r="114" spans="1:15" ht="30">
      <c r="A114">
        <v>125</v>
      </c>
      <c r="B114" t="s">
        <v>1827</v>
      </c>
      <c r="C114" s="48" t="s">
        <v>525</v>
      </c>
      <c r="D114" s="48" t="s">
        <v>591</v>
      </c>
      <c r="E114" s="7" t="s">
        <v>1828</v>
      </c>
      <c r="F114" s="7"/>
      <c r="G114" s="7"/>
      <c r="H114" s="7"/>
      <c r="I114" s="7"/>
      <c r="J114" s="7"/>
      <c r="K114" s="7"/>
      <c r="L114" s="7"/>
      <c r="M114" s="48" t="s">
        <v>527</v>
      </c>
      <c r="N114" s="7">
        <v>101532786</v>
      </c>
      <c r="O114" s="7"/>
    </row>
    <row r="115" spans="1:15" ht="30">
      <c r="A115">
        <v>201</v>
      </c>
      <c r="B115" t="s">
        <v>1778</v>
      </c>
      <c r="C115" t="s">
        <v>1617</v>
      </c>
      <c r="D115" s="48" t="s">
        <v>604</v>
      </c>
      <c r="E115" s="7" t="s">
        <v>1780</v>
      </c>
      <c r="F115" s="7"/>
      <c r="G115" s="7"/>
      <c r="H115" s="7"/>
      <c r="I115" s="7"/>
      <c r="J115" s="7"/>
      <c r="K115" s="7"/>
      <c r="L115" s="7"/>
      <c r="M115" t="s">
        <v>1779</v>
      </c>
      <c r="N115" s="7"/>
      <c r="O115" s="7"/>
    </row>
    <row r="116" spans="1:15">
      <c r="A116">
        <v>202</v>
      </c>
      <c r="B116" t="s">
        <v>1781</v>
      </c>
      <c r="C116" s="48" t="s">
        <v>471</v>
      </c>
      <c r="D116" s="48" t="s">
        <v>591</v>
      </c>
      <c r="E116" s="48" t="s">
        <v>2169</v>
      </c>
      <c r="F116" s="48"/>
      <c r="G116" s="48"/>
      <c r="H116" s="48"/>
      <c r="I116" s="48"/>
      <c r="J116" s="48"/>
      <c r="K116" s="48"/>
      <c r="L116" s="48"/>
      <c r="M116" t="s">
        <v>1782</v>
      </c>
      <c r="N116" s="7"/>
      <c r="O116" s="7"/>
    </row>
    <row r="117" spans="1:15">
      <c r="A117">
        <v>203</v>
      </c>
      <c r="B117" t="s">
        <v>1783</v>
      </c>
      <c r="C117" s="48" t="s">
        <v>471</v>
      </c>
      <c r="D117" s="48" t="s">
        <v>591</v>
      </c>
      <c r="E117" s="7" t="s">
        <v>1784</v>
      </c>
      <c r="F117" s="7"/>
      <c r="G117" s="7"/>
      <c r="H117" s="7"/>
      <c r="I117" s="7"/>
      <c r="J117" s="7"/>
      <c r="K117" s="7"/>
      <c r="L117" s="7"/>
      <c r="M117" t="s">
        <v>1782</v>
      </c>
      <c r="N117" s="7"/>
      <c r="O117" s="7"/>
    </row>
    <row r="118" spans="1:15" ht="30">
      <c r="A118" t="s">
        <v>2077</v>
      </c>
      <c r="B118" t="s">
        <v>1783</v>
      </c>
      <c r="C118" s="48"/>
      <c r="D118" s="48" t="s">
        <v>591</v>
      </c>
      <c r="E118" s="7" t="s">
        <v>2078</v>
      </c>
      <c r="F118" s="7"/>
      <c r="G118" s="7"/>
      <c r="H118" s="7"/>
      <c r="I118" s="7"/>
      <c r="J118" s="7"/>
      <c r="K118" s="7"/>
      <c r="L118" s="7"/>
      <c r="N118" s="7"/>
      <c r="O118" s="7"/>
    </row>
    <row r="119" spans="1:15" ht="30">
      <c r="A119">
        <v>204</v>
      </c>
      <c r="B119" t="s">
        <v>1829</v>
      </c>
      <c r="C119" s="48" t="s">
        <v>471</v>
      </c>
      <c r="D119" s="48" t="s">
        <v>591</v>
      </c>
      <c r="E119" s="7" t="s">
        <v>1830</v>
      </c>
      <c r="F119" s="7"/>
      <c r="G119" s="7"/>
      <c r="H119" s="7"/>
      <c r="I119" s="7"/>
      <c r="J119" s="7"/>
      <c r="K119" s="7"/>
      <c r="L119" s="7"/>
      <c r="M119" t="s">
        <v>1782</v>
      </c>
      <c r="N119" s="7"/>
      <c r="O119" s="7"/>
    </row>
    <row r="120" spans="1:15" ht="75">
      <c r="A120">
        <v>205</v>
      </c>
      <c r="B120" t="s">
        <v>1844</v>
      </c>
      <c r="C120" s="48" t="s">
        <v>471</v>
      </c>
      <c r="D120" s="48" t="s">
        <v>604</v>
      </c>
      <c r="E120" s="7" t="s">
        <v>1848</v>
      </c>
      <c r="F120" s="7"/>
      <c r="G120" s="7"/>
      <c r="H120" s="7"/>
      <c r="I120" s="7"/>
      <c r="J120" s="7"/>
      <c r="K120" s="7"/>
      <c r="L120" s="7"/>
      <c r="M120" t="s">
        <v>1849</v>
      </c>
      <c r="N120" s="7"/>
      <c r="O120" s="7"/>
    </row>
    <row r="121" spans="1:15">
      <c r="A121">
        <v>206</v>
      </c>
      <c r="B121" t="s">
        <v>2170</v>
      </c>
      <c r="C121" s="48" t="s">
        <v>471</v>
      </c>
      <c r="D121" s="48" t="s">
        <v>591</v>
      </c>
      <c r="E121" s="7" t="s">
        <v>2171</v>
      </c>
      <c r="F121" s="7"/>
      <c r="G121" s="7"/>
      <c r="H121" s="7"/>
      <c r="I121" s="7"/>
      <c r="J121" s="7"/>
      <c r="K121" s="7"/>
      <c r="L121" s="7"/>
      <c r="N121" s="7"/>
      <c r="O121" s="7"/>
    </row>
    <row r="122" spans="1:15" ht="75">
      <c r="A122">
        <v>211</v>
      </c>
      <c r="B122" t="s">
        <v>2049</v>
      </c>
      <c r="C122" s="48" t="s">
        <v>671</v>
      </c>
      <c r="D122" s="48" t="s">
        <v>591</v>
      </c>
      <c r="E122" s="7" t="s">
        <v>2050</v>
      </c>
      <c r="F122" s="7"/>
      <c r="G122" s="7"/>
      <c r="H122" s="7"/>
      <c r="I122" s="7"/>
      <c r="J122" s="7"/>
      <c r="K122" s="7"/>
      <c r="L122" s="7"/>
      <c r="M122" s="9" t="s">
        <v>1040</v>
      </c>
      <c r="N122" s="7"/>
      <c r="O122" s="7"/>
    </row>
    <row r="123" spans="1:15" ht="30">
      <c r="A123">
        <v>209</v>
      </c>
      <c r="B123" t="s">
        <v>2134</v>
      </c>
      <c r="C123" s="48" t="s">
        <v>583</v>
      </c>
      <c r="D123" s="48" t="s">
        <v>591</v>
      </c>
      <c r="E123" s="7" t="s">
        <v>2135</v>
      </c>
      <c r="F123" s="7"/>
      <c r="G123" s="7"/>
      <c r="H123" s="7"/>
      <c r="I123" s="7"/>
      <c r="J123" s="7"/>
      <c r="K123" s="7"/>
      <c r="L123" s="7"/>
      <c r="M123" s="9"/>
      <c r="N123" s="7"/>
      <c r="O123" s="7"/>
    </row>
    <row r="124" spans="1:15" ht="45">
      <c r="A124">
        <v>210</v>
      </c>
      <c r="B124" t="s">
        <v>2053</v>
      </c>
      <c r="C124" s="48" t="s">
        <v>525</v>
      </c>
      <c r="D124" s="64" t="s">
        <v>591</v>
      </c>
      <c r="E124" s="9" t="s">
        <v>2057</v>
      </c>
      <c r="F124" s="62">
        <v>46062</v>
      </c>
      <c r="G124" s="62">
        <v>46064</v>
      </c>
      <c r="H124" s="63">
        <v>80</v>
      </c>
      <c r="I124" s="9" t="s">
        <v>2069</v>
      </c>
      <c r="J124" s="9" t="s">
        <v>2070</v>
      </c>
      <c r="K124" s="9" t="s">
        <v>1139</v>
      </c>
      <c r="L124" s="65">
        <v>28680.27</v>
      </c>
      <c r="M124" s="66" t="s">
        <v>527</v>
      </c>
      <c r="N124" s="9" t="s">
        <v>2054</v>
      </c>
      <c r="O124" s="9"/>
    </row>
    <row r="125" spans="1:15" ht="45">
      <c r="A125" t="s">
        <v>2058</v>
      </c>
      <c r="B125" t="s">
        <v>2060</v>
      </c>
      <c r="C125" s="48" t="s">
        <v>2061</v>
      </c>
      <c r="D125" s="48" t="s">
        <v>591</v>
      </c>
      <c r="E125" s="7" t="s">
        <v>2063</v>
      </c>
      <c r="F125" s="62">
        <v>46061</v>
      </c>
      <c r="G125" s="62">
        <v>46064</v>
      </c>
      <c r="H125" s="7">
        <v>5</v>
      </c>
      <c r="I125" s="9" t="s">
        <v>2069</v>
      </c>
      <c r="J125" s="9" t="s">
        <v>2070</v>
      </c>
      <c r="K125" s="9" t="s">
        <v>1139</v>
      </c>
      <c r="L125" s="67">
        <v>1778.92</v>
      </c>
      <c r="N125" s="7"/>
      <c r="O125" s="7"/>
    </row>
    <row r="126" spans="1:15" ht="45">
      <c r="A126" t="s">
        <v>2059</v>
      </c>
      <c r="B126" t="s">
        <v>2052</v>
      </c>
      <c r="C126" s="48" t="s">
        <v>2062</v>
      </c>
      <c r="D126" s="48" t="s">
        <v>591</v>
      </c>
      <c r="E126" s="7" t="s">
        <v>2057</v>
      </c>
      <c r="F126" s="62">
        <v>46062</v>
      </c>
      <c r="G126" s="62">
        <v>46064</v>
      </c>
      <c r="H126" s="7"/>
      <c r="I126" s="9" t="s">
        <v>2069</v>
      </c>
      <c r="J126" s="9" t="s">
        <v>2070</v>
      </c>
      <c r="K126" s="9" t="s">
        <v>1139</v>
      </c>
      <c r="L126" s="7"/>
      <c r="N126" s="7"/>
      <c r="O126" s="7"/>
    </row>
    <row r="127" spans="1:15">
      <c r="A127">
        <v>217</v>
      </c>
      <c r="B127" t="s">
        <v>2161</v>
      </c>
      <c r="C127" s="48" t="s">
        <v>525</v>
      </c>
      <c r="D127" s="64" t="s">
        <v>591</v>
      </c>
      <c r="E127" s="7" t="s">
        <v>2162</v>
      </c>
      <c r="F127" s="7"/>
      <c r="G127" s="7"/>
      <c r="H127" s="7"/>
      <c r="I127" s="7"/>
      <c r="J127" s="7"/>
      <c r="K127" s="7"/>
      <c r="L127" s="7"/>
      <c r="N127" s="7"/>
      <c r="O127" s="7"/>
    </row>
    <row r="128" spans="1:15">
      <c r="A128">
        <v>218</v>
      </c>
      <c r="B128" t="s">
        <v>2219</v>
      </c>
      <c r="C128" s="48" t="s">
        <v>471</v>
      </c>
      <c r="D128" s="48" t="s">
        <v>591</v>
      </c>
      <c r="E128" s="7" t="s">
        <v>2220</v>
      </c>
      <c r="F128" s="7"/>
      <c r="G128" s="7"/>
      <c r="H128" s="7"/>
      <c r="I128" s="7"/>
      <c r="J128" s="7"/>
      <c r="K128" s="7"/>
      <c r="L128" s="7"/>
      <c r="N128" s="7"/>
      <c r="O128" s="7"/>
    </row>
    <row r="129" spans="1:15" ht="30">
      <c r="A129">
        <v>216</v>
      </c>
      <c r="B129" t="s">
        <v>2163</v>
      </c>
      <c r="C129" s="48" t="s">
        <v>525</v>
      </c>
      <c r="D129" s="64" t="s">
        <v>591</v>
      </c>
      <c r="E129" s="7" t="s">
        <v>2164</v>
      </c>
      <c r="F129" s="7"/>
      <c r="G129" s="7"/>
      <c r="H129" s="7"/>
      <c r="I129" s="7"/>
      <c r="J129" s="7"/>
      <c r="K129" s="7"/>
      <c r="L129" s="7"/>
      <c r="N129" s="7"/>
      <c r="O129" s="7"/>
    </row>
    <row r="130" spans="1:15">
      <c r="A130">
        <v>214</v>
      </c>
      <c r="B130" t="s">
        <v>2165</v>
      </c>
      <c r="C130" s="48" t="s">
        <v>525</v>
      </c>
      <c r="D130" s="64" t="s">
        <v>591</v>
      </c>
      <c r="E130" s="71" t="s">
        <v>2166</v>
      </c>
      <c r="F130" s="7"/>
      <c r="G130" s="7"/>
      <c r="H130" s="7"/>
      <c r="I130" s="7"/>
      <c r="J130" s="7"/>
      <c r="K130" s="7"/>
      <c r="L130" s="7"/>
      <c r="N130" s="7"/>
      <c r="O130" s="7"/>
    </row>
    <row r="131" spans="1:15">
      <c r="A131">
        <v>207</v>
      </c>
      <c r="B131" t="s">
        <v>2167</v>
      </c>
      <c r="C131" s="48" t="s">
        <v>525</v>
      </c>
      <c r="D131" s="64" t="s">
        <v>591</v>
      </c>
      <c r="E131" s="7" t="s">
        <v>2168</v>
      </c>
      <c r="F131" s="7"/>
      <c r="G131" s="7"/>
      <c r="H131" s="7"/>
      <c r="I131" s="7"/>
      <c r="J131" s="7"/>
      <c r="K131" s="7"/>
      <c r="L131" s="7"/>
      <c r="N131" s="7"/>
      <c r="O131" s="7"/>
    </row>
    <row r="132" spans="1:15">
      <c r="A132">
        <v>10001</v>
      </c>
      <c r="B132" t="s">
        <v>1539</v>
      </c>
      <c r="E132" t="s">
        <v>1539</v>
      </c>
      <c r="N132" s="7"/>
      <c r="O132" s="7"/>
    </row>
    <row r="133" spans="1:15">
      <c r="A133">
        <v>10002</v>
      </c>
      <c r="B133" t="s">
        <v>1540</v>
      </c>
      <c r="E133" t="s">
        <v>1540</v>
      </c>
      <c r="N133" s="7"/>
      <c r="O133" s="7"/>
    </row>
    <row r="134" spans="1:15">
      <c r="A134">
        <v>10003</v>
      </c>
      <c r="B134" t="s">
        <v>630</v>
      </c>
      <c r="E134" t="s">
        <v>630</v>
      </c>
      <c r="N134" s="7"/>
      <c r="O134" s="7"/>
    </row>
    <row r="135" spans="1:15">
      <c r="A135">
        <v>10004</v>
      </c>
      <c r="B135" t="s">
        <v>1541</v>
      </c>
      <c r="E135" t="s">
        <v>1541</v>
      </c>
      <c r="N135" s="7"/>
      <c r="O135" s="7"/>
    </row>
    <row r="136" spans="1:15">
      <c r="A136">
        <v>10005</v>
      </c>
      <c r="B136" t="s">
        <v>1542</v>
      </c>
      <c r="E136" t="s">
        <v>1542</v>
      </c>
      <c r="N136" s="7"/>
      <c r="O136" s="7"/>
    </row>
    <row r="137" spans="1:15">
      <c r="A137">
        <v>10006</v>
      </c>
      <c r="B137" t="s">
        <v>1543</v>
      </c>
      <c r="E137" t="s">
        <v>1543</v>
      </c>
      <c r="N137" s="7"/>
      <c r="O137" s="7"/>
    </row>
    <row r="138" spans="1:15">
      <c r="A138">
        <v>10007</v>
      </c>
      <c r="B138" t="s">
        <v>1544</v>
      </c>
      <c r="E138" t="s">
        <v>1544</v>
      </c>
      <c r="N138" s="7"/>
      <c r="O138" s="7"/>
    </row>
    <row r="139" spans="1:15">
      <c r="A139">
        <v>10008</v>
      </c>
      <c r="B139" t="s">
        <v>1545</v>
      </c>
      <c r="E139" t="s">
        <v>1545</v>
      </c>
      <c r="N139" s="7"/>
      <c r="O139" s="7"/>
    </row>
    <row r="140" spans="1:15">
      <c r="A140">
        <v>10009</v>
      </c>
      <c r="B140" t="s">
        <v>1546</v>
      </c>
      <c r="E140" t="s">
        <v>1546</v>
      </c>
      <c r="N140" s="7"/>
      <c r="O140" s="7"/>
    </row>
    <row r="141" spans="1:15">
      <c r="A141">
        <v>10010</v>
      </c>
      <c r="B141" t="s">
        <v>1547</v>
      </c>
      <c r="E141" t="s">
        <v>1547</v>
      </c>
      <c r="N141" s="7"/>
      <c r="O141" s="7"/>
    </row>
    <row r="142" spans="1:15">
      <c r="A142">
        <v>10011</v>
      </c>
      <c r="B142" t="s">
        <v>1548</v>
      </c>
      <c r="E142" t="s">
        <v>1548</v>
      </c>
      <c r="N142" s="7"/>
      <c r="O142" s="7"/>
    </row>
    <row r="143" spans="1:15">
      <c r="A143">
        <v>10012</v>
      </c>
      <c r="B143" t="s">
        <v>1566</v>
      </c>
      <c r="E143" t="s">
        <v>1566</v>
      </c>
      <c r="N143" s="7"/>
      <c r="O143" s="7"/>
    </row>
    <row r="144" spans="1:15">
      <c r="A144">
        <v>10013</v>
      </c>
      <c r="B144" t="s">
        <v>1570</v>
      </c>
      <c r="E144" t="s">
        <v>1570</v>
      </c>
      <c r="N144" s="7"/>
      <c r="O144" s="7"/>
    </row>
    <row r="145" spans="1:15">
      <c r="A145">
        <v>10014</v>
      </c>
      <c r="B145" t="s">
        <v>1775</v>
      </c>
      <c r="E145" t="s">
        <v>1775</v>
      </c>
      <c r="N145" s="7"/>
      <c r="O145" s="7"/>
    </row>
    <row r="146" spans="1:15">
      <c r="E146" s="7"/>
      <c r="N146" s="7"/>
      <c r="O146" s="7"/>
    </row>
  </sheetData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24E3-1EA3-4E08-B13D-E97B7080908C}">
  <sheetPr>
    <tabColor theme="8" tint="0.59999389629810485"/>
  </sheetPr>
  <dimension ref="A1:M176"/>
  <sheetViews>
    <sheetView topLeftCell="A167" zoomScale="145" zoomScaleNormal="145" workbookViewId="0">
      <selection activeCell="A176" sqref="A176"/>
    </sheetView>
  </sheetViews>
  <sheetFormatPr defaultRowHeight="15"/>
  <cols>
    <col min="1" max="1" width="13.140625" bestFit="1" customWidth="1"/>
    <col min="2" max="2" width="29.140625" customWidth="1"/>
    <col min="3" max="3" width="44.42578125" bestFit="1" customWidth="1"/>
    <col min="4" max="4" width="10.5703125" bestFit="1" customWidth="1"/>
    <col min="5" max="5" width="15.28515625" customWidth="1"/>
    <col min="6" max="6" width="17.7109375" bestFit="1" customWidth="1"/>
    <col min="7" max="7" width="22.42578125" bestFit="1" customWidth="1"/>
    <col min="8" max="8" width="16.42578125" customWidth="1"/>
    <col min="9" max="9" width="20.85546875" customWidth="1"/>
    <col min="10" max="10" width="33.85546875" customWidth="1"/>
    <col min="11" max="11" width="26.42578125" bestFit="1" customWidth="1"/>
    <col min="12" max="12" width="66" bestFit="1" customWidth="1"/>
    <col min="13" max="13" width="24" bestFit="1" customWidth="1"/>
    <col min="14" max="14" width="16.42578125" bestFit="1" customWidth="1"/>
    <col min="15" max="15" width="22.42578125" customWidth="1"/>
  </cols>
  <sheetData>
    <row r="1" spans="1:13">
      <c r="A1" t="s">
        <v>1157</v>
      </c>
      <c r="B1" t="s">
        <v>957</v>
      </c>
      <c r="C1" t="s">
        <v>1041</v>
      </c>
      <c r="D1" t="s">
        <v>353</v>
      </c>
      <c r="E1" t="s">
        <v>1564</v>
      </c>
      <c r="F1" t="s">
        <v>1416</v>
      </c>
      <c r="G1" t="s">
        <v>1417</v>
      </c>
      <c r="H1" t="s">
        <v>1418</v>
      </c>
      <c r="I1" t="s">
        <v>1419</v>
      </c>
      <c r="J1" t="s">
        <v>786</v>
      </c>
      <c r="K1" t="s">
        <v>787</v>
      </c>
      <c r="L1" t="s">
        <v>1420</v>
      </c>
      <c r="M1" t="s">
        <v>1421</v>
      </c>
    </row>
    <row r="2" spans="1:13">
      <c r="A2" t="s">
        <v>1447</v>
      </c>
      <c r="B2" s="56" t="s">
        <v>1448</v>
      </c>
      <c r="C2" s="11"/>
      <c r="D2">
        <v>39</v>
      </c>
      <c r="E2" s="14" t="s">
        <v>1542</v>
      </c>
    </row>
    <row r="3" spans="1:13">
      <c r="A3" t="s">
        <v>1449</v>
      </c>
      <c r="B3" s="56" t="s">
        <v>1450</v>
      </c>
      <c r="C3" s="11"/>
      <c r="D3">
        <v>8</v>
      </c>
      <c r="E3" s="14" t="s">
        <v>1542</v>
      </c>
    </row>
    <row r="4" spans="1:13" ht="30">
      <c r="A4" t="s">
        <v>1872</v>
      </c>
      <c r="B4" s="7" t="s">
        <v>858</v>
      </c>
      <c r="C4">
        <v>204958482</v>
      </c>
      <c r="D4">
        <v>12</v>
      </c>
      <c r="E4" s="14" t="s">
        <v>1565</v>
      </c>
      <c r="F4" t="s">
        <v>790</v>
      </c>
    </row>
    <row r="5" spans="1:13" ht="30">
      <c r="A5" t="s">
        <v>1873</v>
      </c>
      <c r="B5" s="7" t="s">
        <v>863</v>
      </c>
      <c r="C5">
        <v>202452735</v>
      </c>
      <c r="D5">
        <v>12</v>
      </c>
      <c r="E5" s="14" t="s">
        <v>1565</v>
      </c>
      <c r="F5" t="s">
        <v>790</v>
      </c>
    </row>
    <row r="6" spans="1:13">
      <c r="A6" t="s">
        <v>1874</v>
      </c>
      <c r="B6" s="7" t="s">
        <v>1748</v>
      </c>
      <c r="D6">
        <v>12</v>
      </c>
      <c r="E6" s="14" t="s">
        <v>1565</v>
      </c>
      <c r="F6" t="s">
        <v>790</v>
      </c>
    </row>
    <row r="7" spans="1:13" ht="30">
      <c r="A7" t="s">
        <v>1875</v>
      </c>
      <c r="B7" s="7" t="s">
        <v>884</v>
      </c>
      <c r="D7">
        <v>12</v>
      </c>
      <c r="E7" s="14" t="s">
        <v>1565</v>
      </c>
      <c r="F7" t="s">
        <v>790</v>
      </c>
    </row>
    <row r="8" spans="1:13">
      <c r="A8" t="s">
        <v>1876</v>
      </c>
      <c r="B8" s="7" t="s">
        <v>847</v>
      </c>
      <c r="C8">
        <v>286783649</v>
      </c>
      <c r="D8">
        <v>12</v>
      </c>
      <c r="E8" s="14" t="s">
        <v>1565</v>
      </c>
      <c r="F8" t="s">
        <v>790</v>
      </c>
    </row>
    <row r="9" spans="1:13" ht="30">
      <c r="A9" t="s">
        <v>1877</v>
      </c>
      <c r="B9" s="7" t="s">
        <v>910</v>
      </c>
      <c r="D9">
        <v>12</v>
      </c>
      <c r="E9" s="14" t="s">
        <v>1565</v>
      </c>
      <c r="F9" t="s">
        <v>790</v>
      </c>
    </row>
    <row r="10" spans="1:13" ht="30">
      <c r="A10" t="s">
        <v>1878</v>
      </c>
      <c r="B10" s="7" t="s">
        <v>887</v>
      </c>
      <c r="D10">
        <v>12</v>
      </c>
      <c r="E10" s="14" t="s">
        <v>1565</v>
      </c>
      <c r="F10" t="s">
        <v>790</v>
      </c>
    </row>
    <row r="11" spans="1:13">
      <c r="A11" t="s">
        <v>1879</v>
      </c>
      <c r="B11" s="7" t="s">
        <v>925</v>
      </c>
      <c r="D11">
        <v>12</v>
      </c>
      <c r="E11" s="14" t="s">
        <v>1565</v>
      </c>
      <c r="F11" t="s">
        <v>790</v>
      </c>
      <c r="G11" t="s">
        <v>926</v>
      </c>
      <c r="H11" t="s">
        <v>893</v>
      </c>
      <c r="I11" t="s">
        <v>927</v>
      </c>
    </row>
    <row r="12" spans="1:13">
      <c r="A12" t="s">
        <v>1880</v>
      </c>
      <c r="B12" s="7" t="s">
        <v>907</v>
      </c>
      <c r="D12">
        <v>12</v>
      </c>
      <c r="E12" s="14" t="s">
        <v>1565</v>
      </c>
      <c r="F12" t="s">
        <v>790</v>
      </c>
    </row>
    <row r="13" spans="1:13">
      <c r="A13" t="s">
        <v>1881</v>
      </c>
      <c r="B13" s="7" t="s">
        <v>904</v>
      </c>
      <c r="D13">
        <v>12</v>
      </c>
      <c r="E13" s="14" t="s">
        <v>1565</v>
      </c>
      <c r="F13" t="s">
        <v>790</v>
      </c>
    </row>
    <row r="14" spans="1:13">
      <c r="A14" t="s">
        <v>1882</v>
      </c>
      <c r="B14" s="7" t="s">
        <v>895</v>
      </c>
      <c r="D14">
        <v>12</v>
      </c>
      <c r="E14" s="14" t="s">
        <v>1565</v>
      </c>
      <c r="F14" t="s">
        <v>790</v>
      </c>
    </row>
    <row r="15" spans="1:13">
      <c r="A15" t="s">
        <v>1883</v>
      </c>
      <c r="B15" s="7" t="s">
        <v>883</v>
      </c>
      <c r="D15">
        <v>12</v>
      </c>
      <c r="E15" s="14" t="s">
        <v>1565</v>
      </c>
      <c r="F15" t="s">
        <v>790</v>
      </c>
    </row>
    <row r="16" spans="1:13">
      <c r="A16" t="s">
        <v>1884</v>
      </c>
      <c r="B16" s="7" t="s">
        <v>876</v>
      </c>
      <c r="D16">
        <v>12</v>
      </c>
      <c r="E16" s="14" t="s">
        <v>1565</v>
      </c>
      <c r="F16" t="s">
        <v>790</v>
      </c>
    </row>
    <row r="17" spans="1:12">
      <c r="A17" t="s">
        <v>1885</v>
      </c>
      <c r="B17" s="7" t="s">
        <v>870</v>
      </c>
      <c r="C17">
        <v>200113720</v>
      </c>
      <c r="D17">
        <v>12</v>
      </c>
      <c r="E17" s="14" t="s">
        <v>1565</v>
      </c>
      <c r="F17" t="s">
        <v>790</v>
      </c>
      <c r="L17" t="s">
        <v>871</v>
      </c>
    </row>
    <row r="18" spans="1:12">
      <c r="A18" t="s">
        <v>1886</v>
      </c>
      <c r="B18" s="7" t="s">
        <v>891</v>
      </c>
      <c r="D18">
        <v>12</v>
      </c>
      <c r="E18" s="14" t="s">
        <v>1565</v>
      </c>
      <c r="F18" t="s">
        <v>790</v>
      </c>
      <c r="G18" t="s">
        <v>892</v>
      </c>
      <c r="H18" t="s">
        <v>893</v>
      </c>
      <c r="I18" t="s">
        <v>894</v>
      </c>
    </row>
    <row r="19" spans="1:12">
      <c r="A19" t="s">
        <v>1887</v>
      </c>
      <c r="B19" s="7" t="s">
        <v>911</v>
      </c>
      <c r="D19">
        <v>12</v>
      </c>
      <c r="E19" s="14" t="s">
        <v>1565</v>
      </c>
      <c r="F19" t="s">
        <v>790</v>
      </c>
      <c r="G19" t="s">
        <v>912</v>
      </c>
      <c r="H19" t="s">
        <v>893</v>
      </c>
      <c r="I19" t="s">
        <v>913</v>
      </c>
      <c r="K19" t="s">
        <v>914</v>
      </c>
      <c r="L19" t="s">
        <v>915</v>
      </c>
    </row>
    <row r="20" spans="1:12" ht="30">
      <c r="A20" t="s">
        <v>1888</v>
      </c>
      <c r="B20" s="7" t="s">
        <v>1424</v>
      </c>
      <c r="D20">
        <v>12</v>
      </c>
      <c r="E20" s="14" t="s">
        <v>1565</v>
      </c>
      <c r="F20" t="s">
        <v>790</v>
      </c>
      <c r="K20" t="s">
        <v>1425</v>
      </c>
    </row>
    <row r="21" spans="1:12">
      <c r="A21" t="s">
        <v>1889</v>
      </c>
      <c r="B21" s="7" t="s">
        <v>842</v>
      </c>
      <c r="C21">
        <v>349700923</v>
      </c>
      <c r="D21">
        <v>12</v>
      </c>
      <c r="E21" s="14" t="s">
        <v>1565</v>
      </c>
      <c r="F21" t="s">
        <v>790</v>
      </c>
      <c r="J21" t="s">
        <v>843</v>
      </c>
    </row>
    <row r="22" spans="1:12">
      <c r="A22" t="s">
        <v>1890</v>
      </c>
      <c r="B22" s="7" t="s">
        <v>888</v>
      </c>
      <c r="D22">
        <v>12</v>
      </c>
      <c r="E22" s="14" t="s">
        <v>1565</v>
      </c>
      <c r="F22" t="s">
        <v>790</v>
      </c>
    </row>
    <row r="23" spans="1:12" ht="30">
      <c r="A23" t="s">
        <v>1891</v>
      </c>
      <c r="B23" s="7" t="s">
        <v>806</v>
      </c>
      <c r="C23">
        <v>628157576</v>
      </c>
      <c r="D23">
        <v>12</v>
      </c>
      <c r="E23" s="14" t="s">
        <v>1565</v>
      </c>
      <c r="F23" t="s">
        <v>790</v>
      </c>
      <c r="K23" t="s">
        <v>808</v>
      </c>
      <c r="L23" t="s">
        <v>809</v>
      </c>
    </row>
    <row r="24" spans="1:12" ht="30">
      <c r="A24" t="s">
        <v>1892</v>
      </c>
      <c r="B24" s="7" t="s">
        <v>819</v>
      </c>
      <c r="C24">
        <v>540224502</v>
      </c>
      <c r="D24">
        <v>12</v>
      </c>
      <c r="E24" s="14" t="s">
        <v>1565</v>
      </c>
      <c r="F24" t="s">
        <v>790</v>
      </c>
    </row>
    <row r="25" spans="1:12">
      <c r="A25" t="s">
        <v>1893</v>
      </c>
      <c r="B25" s="7" t="s">
        <v>1746</v>
      </c>
      <c r="D25">
        <v>12</v>
      </c>
      <c r="E25" s="14" t="s">
        <v>1565</v>
      </c>
      <c r="F25" t="s">
        <v>790</v>
      </c>
      <c r="G25" t="s">
        <v>934</v>
      </c>
      <c r="H25" t="s">
        <v>893</v>
      </c>
      <c r="I25" t="s">
        <v>935</v>
      </c>
    </row>
    <row r="26" spans="1:12">
      <c r="A26" t="s">
        <v>1894</v>
      </c>
      <c r="B26" s="7" t="s">
        <v>903</v>
      </c>
      <c r="D26">
        <v>12</v>
      </c>
      <c r="E26" s="14" t="s">
        <v>1565</v>
      </c>
      <c r="F26" t="s">
        <v>790</v>
      </c>
    </row>
    <row r="27" spans="1:12">
      <c r="A27" t="s">
        <v>1895</v>
      </c>
      <c r="B27" s="7" t="s">
        <v>889</v>
      </c>
      <c r="D27">
        <v>12</v>
      </c>
      <c r="E27" s="14" t="s">
        <v>1565</v>
      </c>
      <c r="F27" t="s">
        <v>790</v>
      </c>
    </row>
    <row r="28" spans="1:12" ht="45">
      <c r="A28" t="s">
        <v>1896</v>
      </c>
      <c r="B28" s="7" t="s">
        <v>811</v>
      </c>
      <c r="C28">
        <v>623767406</v>
      </c>
      <c r="D28">
        <v>12</v>
      </c>
      <c r="E28" s="14" t="s">
        <v>1565</v>
      </c>
      <c r="F28" t="s">
        <v>790</v>
      </c>
    </row>
    <row r="29" spans="1:12">
      <c r="A29" t="s">
        <v>1897</v>
      </c>
      <c r="B29" s="7" t="s">
        <v>909</v>
      </c>
      <c r="D29">
        <v>12</v>
      </c>
      <c r="E29" s="14" t="s">
        <v>1565</v>
      </c>
      <c r="F29" t="s">
        <v>790</v>
      </c>
    </row>
    <row r="30" spans="1:12" ht="30">
      <c r="A30" t="s">
        <v>1898</v>
      </c>
      <c r="B30" s="7" t="s">
        <v>799</v>
      </c>
      <c r="C30">
        <v>672422425</v>
      </c>
      <c r="D30">
        <v>12</v>
      </c>
      <c r="E30" s="14" t="s">
        <v>1565</v>
      </c>
      <c r="F30" t="s">
        <v>790</v>
      </c>
    </row>
    <row r="31" spans="1:12">
      <c r="A31" t="s">
        <v>1899</v>
      </c>
      <c r="B31" s="7" t="s">
        <v>921</v>
      </c>
      <c r="D31">
        <v>12</v>
      </c>
      <c r="E31" s="14" t="s">
        <v>1565</v>
      </c>
      <c r="F31" t="s">
        <v>790</v>
      </c>
    </row>
    <row r="32" spans="1:12" ht="30">
      <c r="A32" t="s">
        <v>1900</v>
      </c>
      <c r="B32" s="7" t="s">
        <v>908</v>
      </c>
      <c r="D32">
        <v>12</v>
      </c>
      <c r="E32" s="14" t="s">
        <v>1565</v>
      </c>
      <c r="F32" t="s">
        <v>790</v>
      </c>
    </row>
    <row r="33" spans="1:9">
      <c r="A33" t="s">
        <v>1901</v>
      </c>
      <c r="B33" s="7" t="s">
        <v>882</v>
      </c>
      <c r="D33">
        <v>12</v>
      </c>
      <c r="E33" s="14" t="s">
        <v>1565</v>
      </c>
      <c r="F33" t="s">
        <v>790</v>
      </c>
    </row>
    <row r="34" spans="1:9" ht="30">
      <c r="A34" t="s">
        <v>1902</v>
      </c>
      <c r="B34" s="7" t="s">
        <v>789</v>
      </c>
      <c r="C34">
        <v>724028730</v>
      </c>
      <c r="D34">
        <v>12</v>
      </c>
      <c r="E34" s="14" t="s">
        <v>1565</v>
      </c>
      <c r="F34" t="s">
        <v>790</v>
      </c>
    </row>
    <row r="35" spans="1:9">
      <c r="A35" t="s">
        <v>1903</v>
      </c>
      <c r="B35" s="7" t="s">
        <v>845</v>
      </c>
      <c r="C35">
        <v>301203199</v>
      </c>
      <c r="D35">
        <v>12</v>
      </c>
      <c r="E35" s="14" t="s">
        <v>1565</v>
      </c>
      <c r="F35" t="s">
        <v>790</v>
      </c>
    </row>
    <row r="36" spans="1:9">
      <c r="A36" t="s">
        <v>1904</v>
      </c>
      <c r="B36" s="7" t="s">
        <v>933</v>
      </c>
      <c r="D36">
        <v>12</v>
      </c>
      <c r="E36" s="14" t="s">
        <v>1565</v>
      </c>
      <c r="F36" t="s">
        <v>790</v>
      </c>
    </row>
    <row r="37" spans="1:9">
      <c r="A37" t="s">
        <v>1905</v>
      </c>
      <c r="B37" s="7" t="s">
        <v>918</v>
      </c>
      <c r="D37">
        <v>12</v>
      </c>
      <c r="E37" s="14" t="s">
        <v>1565</v>
      </c>
      <c r="F37" t="s">
        <v>790</v>
      </c>
      <c r="G37" t="s">
        <v>919</v>
      </c>
    </row>
    <row r="38" spans="1:9">
      <c r="A38" t="s">
        <v>1906</v>
      </c>
      <c r="B38" s="7" t="s">
        <v>825</v>
      </c>
      <c r="C38">
        <v>489481132</v>
      </c>
      <c r="D38">
        <v>12</v>
      </c>
      <c r="E38" s="14" t="s">
        <v>1565</v>
      </c>
      <c r="F38" t="s">
        <v>790</v>
      </c>
    </row>
    <row r="39" spans="1:9">
      <c r="A39" t="s">
        <v>1907</v>
      </c>
      <c r="B39" s="7" t="s">
        <v>897</v>
      </c>
      <c r="D39">
        <v>12</v>
      </c>
      <c r="E39" s="14" t="s">
        <v>1547</v>
      </c>
      <c r="F39" t="s">
        <v>790</v>
      </c>
    </row>
    <row r="40" spans="1:9">
      <c r="A40" t="s">
        <v>1908</v>
      </c>
      <c r="B40" s="7" t="s">
        <v>923</v>
      </c>
      <c r="D40">
        <v>12</v>
      </c>
      <c r="E40" s="14" t="s">
        <v>1542</v>
      </c>
      <c r="F40" t="s">
        <v>790</v>
      </c>
    </row>
    <row r="41" spans="1:9">
      <c r="A41" t="s">
        <v>1909</v>
      </c>
      <c r="B41" s="7" t="s">
        <v>922</v>
      </c>
      <c r="D41">
        <v>12</v>
      </c>
      <c r="E41" s="14" t="s">
        <v>1565</v>
      </c>
      <c r="F41" t="s">
        <v>790</v>
      </c>
    </row>
    <row r="42" spans="1:9">
      <c r="A42" t="s">
        <v>1910</v>
      </c>
      <c r="B42" s="7" t="s">
        <v>821</v>
      </c>
      <c r="C42">
        <v>509184316</v>
      </c>
      <c r="D42">
        <v>12</v>
      </c>
      <c r="E42" s="14" t="s">
        <v>1565</v>
      </c>
      <c r="F42" t="s">
        <v>790</v>
      </c>
    </row>
    <row r="43" spans="1:9">
      <c r="A43" t="s">
        <v>1911</v>
      </c>
      <c r="B43" s="7" t="s">
        <v>821</v>
      </c>
      <c r="C43">
        <v>210456035</v>
      </c>
      <c r="D43">
        <v>12</v>
      </c>
      <c r="E43" s="14" t="s">
        <v>1565</v>
      </c>
      <c r="F43" t="s">
        <v>790</v>
      </c>
    </row>
    <row r="44" spans="1:9">
      <c r="A44" t="s">
        <v>1912</v>
      </c>
      <c r="B44" s="7" t="s">
        <v>890</v>
      </c>
      <c r="D44">
        <v>12</v>
      </c>
      <c r="E44" s="14" t="s">
        <v>1565</v>
      </c>
      <c r="F44" t="s">
        <v>790</v>
      </c>
    </row>
    <row r="45" spans="1:9">
      <c r="A45" t="s">
        <v>1913</v>
      </c>
      <c r="B45" s="56" t="s">
        <v>1046</v>
      </c>
      <c r="D45">
        <v>2</v>
      </c>
      <c r="E45" s="14" t="s">
        <v>1570</v>
      </c>
      <c r="F45" t="s">
        <v>838</v>
      </c>
      <c r="G45" t="s">
        <v>1078</v>
      </c>
    </row>
    <row r="46" spans="1:9" ht="30">
      <c r="A46" t="s">
        <v>1914</v>
      </c>
      <c r="B46" s="7" t="s">
        <v>886</v>
      </c>
      <c r="D46">
        <v>12</v>
      </c>
      <c r="E46" s="14" t="s">
        <v>1565</v>
      </c>
      <c r="F46" t="s">
        <v>790</v>
      </c>
    </row>
    <row r="47" spans="1:9">
      <c r="A47" t="s">
        <v>1915</v>
      </c>
      <c r="B47" s="7" t="s">
        <v>906</v>
      </c>
      <c r="D47">
        <v>12</v>
      </c>
      <c r="E47" s="14" t="s">
        <v>1565</v>
      </c>
      <c r="F47" t="s">
        <v>790</v>
      </c>
    </row>
    <row r="48" spans="1:9">
      <c r="A48" t="s">
        <v>1916</v>
      </c>
      <c r="B48" s="7" t="s">
        <v>898</v>
      </c>
      <c r="D48">
        <v>12</v>
      </c>
      <c r="E48" s="14" t="s">
        <v>1565</v>
      </c>
      <c r="F48" t="s">
        <v>790</v>
      </c>
      <c r="G48" t="s">
        <v>899</v>
      </c>
      <c r="H48" t="s">
        <v>900</v>
      </c>
      <c r="I48" t="s">
        <v>901</v>
      </c>
    </row>
    <row r="49" spans="1:6">
      <c r="A49" t="s">
        <v>1917</v>
      </c>
      <c r="B49" s="7" t="s">
        <v>859</v>
      </c>
      <c r="C49">
        <v>204905923</v>
      </c>
      <c r="D49">
        <v>12</v>
      </c>
      <c r="E49" s="14" t="s">
        <v>1565</v>
      </c>
      <c r="F49" t="s">
        <v>790</v>
      </c>
    </row>
    <row r="50" spans="1:6">
      <c r="A50" t="s">
        <v>1918</v>
      </c>
      <c r="B50" s="7" t="s">
        <v>854</v>
      </c>
      <c r="C50">
        <v>234920076</v>
      </c>
      <c r="D50">
        <v>12</v>
      </c>
      <c r="E50" s="14" t="s">
        <v>1565</v>
      </c>
      <c r="F50" t="s">
        <v>790</v>
      </c>
    </row>
    <row r="51" spans="1:6">
      <c r="A51" t="s">
        <v>1919</v>
      </c>
      <c r="B51" s="7" t="s">
        <v>885</v>
      </c>
      <c r="D51">
        <v>12</v>
      </c>
      <c r="E51" s="14" t="s">
        <v>1565</v>
      </c>
      <c r="F51" t="s">
        <v>790</v>
      </c>
    </row>
    <row r="52" spans="1:6">
      <c r="A52" t="s">
        <v>1920</v>
      </c>
      <c r="B52" s="7" t="s">
        <v>844</v>
      </c>
      <c r="C52">
        <v>308618343</v>
      </c>
      <c r="D52">
        <v>12</v>
      </c>
      <c r="E52" s="14" t="s">
        <v>1565</v>
      </c>
      <c r="F52" t="s">
        <v>790</v>
      </c>
    </row>
    <row r="53" spans="1:6">
      <c r="A53" t="s">
        <v>1921</v>
      </c>
      <c r="B53" s="7" t="s">
        <v>804</v>
      </c>
      <c r="C53">
        <v>648200973</v>
      </c>
      <c r="D53">
        <v>12</v>
      </c>
      <c r="E53" s="14" t="s">
        <v>1565</v>
      </c>
      <c r="F53" t="s">
        <v>790</v>
      </c>
    </row>
    <row r="54" spans="1:6">
      <c r="A54" t="s">
        <v>1922</v>
      </c>
      <c r="B54" s="7" t="s">
        <v>814</v>
      </c>
      <c r="C54">
        <v>601654587</v>
      </c>
      <c r="D54">
        <v>12</v>
      </c>
      <c r="E54" s="14" t="s">
        <v>1565</v>
      </c>
      <c r="F54" t="s">
        <v>790</v>
      </c>
    </row>
    <row r="55" spans="1:6">
      <c r="A55" t="s">
        <v>1923</v>
      </c>
      <c r="B55" s="7" t="s">
        <v>857</v>
      </c>
      <c r="C55">
        <v>204963036</v>
      </c>
      <c r="D55">
        <v>12</v>
      </c>
      <c r="E55" s="14" t="s">
        <v>1565</v>
      </c>
      <c r="F55" t="s">
        <v>790</v>
      </c>
    </row>
    <row r="56" spans="1:6">
      <c r="A56" t="s">
        <v>1924</v>
      </c>
      <c r="B56" s="7" t="s">
        <v>867</v>
      </c>
      <c r="C56">
        <v>200244280</v>
      </c>
      <c r="D56">
        <v>12</v>
      </c>
      <c r="E56" s="14" t="s">
        <v>1565</v>
      </c>
      <c r="F56" t="s">
        <v>790</v>
      </c>
    </row>
    <row r="57" spans="1:6">
      <c r="A57" t="s">
        <v>1925</v>
      </c>
      <c r="B57" s="7" t="s">
        <v>793</v>
      </c>
      <c r="C57">
        <v>711038376</v>
      </c>
      <c r="D57">
        <v>12</v>
      </c>
      <c r="E57" s="14" t="s">
        <v>1565</v>
      </c>
      <c r="F57" t="s">
        <v>790</v>
      </c>
    </row>
    <row r="58" spans="1:6">
      <c r="A58" t="s">
        <v>1926</v>
      </c>
      <c r="B58" s="7" t="s">
        <v>797</v>
      </c>
      <c r="C58">
        <v>672769069</v>
      </c>
      <c r="D58">
        <v>12</v>
      </c>
      <c r="E58" s="14" t="s">
        <v>1565</v>
      </c>
      <c r="F58" t="s">
        <v>790</v>
      </c>
    </row>
    <row r="59" spans="1:6">
      <c r="A59" t="s">
        <v>1927</v>
      </c>
      <c r="B59" s="7" t="s">
        <v>823</v>
      </c>
      <c r="C59">
        <v>498788687</v>
      </c>
      <c r="D59">
        <v>12</v>
      </c>
      <c r="E59" s="14" t="s">
        <v>1565</v>
      </c>
      <c r="F59" t="s">
        <v>790</v>
      </c>
    </row>
    <row r="60" spans="1:6" ht="30">
      <c r="A60" t="s">
        <v>1928</v>
      </c>
      <c r="B60" s="7" t="s">
        <v>866</v>
      </c>
      <c r="C60">
        <v>200277847</v>
      </c>
      <c r="D60">
        <v>12</v>
      </c>
      <c r="E60" s="14" t="s">
        <v>1565</v>
      </c>
      <c r="F60" t="s">
        <v>790</v>
      </c>
    </row>
    <row r="61" spans="1:6" ht="30">
      <c r="A61" t="s">
        <v>1929</v>
      </c>
      <c r="B61" s="7" t="s">
        <v>860</v>
      </c>
      <c r="C61">
        <v>204904153</v>
      </c>
      <c r="D61">
        <v>12</v>
      </c>
      <c r="E61" s="14" t="s">
        <v>1565</v>
      </c>
      <c r="F61" t="s">
        <v>790</v>
      </c>
    </row>
    <row r="62" spans="1:6">
      <c r="A62" t="s">
        <v>1930</v>
      </c>
      <c r="B62" s="7" t="s">
        <v>836</v>
      </c>
      <c r="C62">
        <v>413181553</v>
      </c>
      <c r="D62">
        <v>12</v>
      </c>
      <c r="E62" s="14" t="s">
        <v>1565</v>
      </c>
      <c r="F62" t="s">
        <v>790</v>
      </c>
    </row>
    <row r="63" spans="1:6">
      <c r="A63" t="s">
        <v>1931</v>
      </c>
      <c r="B63" s="7" t="s">
        <v>830</v>
      </c>
      <c r="C63">
        <v>463469720</v>
      </c>
      <c r="D63">
        <v>12</v>
      </c>
      <c r="E63" s="14" t="s">
        <v>1565</v>
      </c>
      <c r="F63" t="s">
        <v>790</v>
      </c>
    </row>
    <row r="64" spans="1:6">
      <c r="A64" t="s">
        <v>1932</v>
      </c>
      <c r="B64" s="7" t="s">
        <v>802</v>
      </c>
      <c r="C64">
        <v>653222785</v>
      </c>
      <c r="D64">
        <v>12</v>
      </c>
      <c r="E64" s="14" t="s">
        <v>1565</v>
      </c>
      <c r="F64" t="s">
        <v>790</v>
      </c>
    </row>
    <row r="65" spans="1:7">
      <c r="A65" t="s">
        <v>1933</v>
      </c>
      <c r="B65" s="7" t="s">
        <v>828</v>
      </c>
      <c r="C65">
        <v>474597423</v>
      </c>
      <c r="D65">
        <v>12</v>
      </c>
      <c r="E65" s="14" t="s">
        <v>1565</v>
      </c>
      <c r="F65" t="s">
        <v>790</v>
      </c>
    </row>
    <row r="66" spans="1:7" ht="30">
      <c r="A66" t="s">
        <v>1934</v>
      </c>
      <c r="B66" s="7" t="s">
        <v>853</v>
      </c>
      <c r="C66">
        <v>235011304</v>
      </c>
      <c r="D66">
        <v>12</v>
      </c>
      <c r="E66" s="14" t="s">
        <v>1565</v>
      </c>
      <c r="F66" t="s">
        <v>790</v>
      </c>
    </row>
    <row r="67" spans="1:7">
      <c r="A67" t="s">
        <v>1935</v>
      </c>
      <c r="B67" s="7" t="s">
        <v>1047</v>
      </c>
      <c r="D67">
        <v>38</v>
      </c>
      <c r="E67" s="14" t="s">
        <v>1565</v>
      </c>
      <c r="F67" t="s">
        <v>838</v>
      </c>
      <c r="G67" t="s">
        <v>1078</v>
      </c>
    </row>
    <row r="68" spans="1:7">
      <c r="A68" t="s">
        <v>1936</v>
      </c>
      <c r="B68" s="7" t="s">
        <v>868</v>
      </c>
      <c r="C68">
        <v>200201786</v>
      </c>
      <c r="D68">
        <v>12</v>
      </c>
      <c r="E68" s="14" t="s">
        <v>1565</v>
      </c>
      <c r="F68" t="s">
        <v>790</v>
      </c>
    </row>
    <row r="69" spans="1:7">
      <c r="A69" t="s">
        <v>1937</v>
      </c>
      <c r="B69" s="7" t="s">
        <v>855</v>
      </c>
      <c r="C69">
        <v>208407898</v>
      </c>
      <c r="D69">
        <v>12</v>
      </c>
      <c r="E69" s="14" t="s">
        <v>1565</v>
      </c>
      <c r="F69" t="s">
        <v>790</v>
      </c>
    </row>
    <row r="70" spans="1:7">
      <c r="A70" t="s">
        <v>1938</v>
      </c>
      <c r="B70" s="7" t="s">
        <v>841</v>
      </c>
      <c r="C70">
        <v>376501170</v>
      </c>
      <c r="D70">
        <v>12</v>
      </c>
      <c r="E70" s="14" t="s">
        <v>1565</v>
      </c>
      <c r="F70" t="s">
        <v>790</v>
      </c>
    </row>
    <row r="71" spans="1:7">
      <c r="A71" t="s">
        <v>1939</v>
      </c>
      <c r="B71" s="7" t="s">
        <v>826</v>
      </c>
      <c r="C71">
        <v>479657874</v>
      </c>
      <c r="D71">
        <v>12</v>
      </c>
      <c r="E71" s="14" t="s">
        <v>1565</v>
      </c>
      <c r="F71" t="s">
        <v>790</v>
      </c>
    </row>
    <row r="72" spans="1:7">
      <c r="A72" t="s">
        <v>1940</v>
      </c>
      <c r="B72" s="7" t="s">
        <v>800</v>
      </c>
      <c r="C72">
        <v>672412799</v>
      </c>
      <c r="D72">
        <v>12</v>
      </c>
      <c r="E72" s="14" t="s">
        <v>1565</v>
      </c>
      <c r="F72" t="s">
        <v>790</v>
      </c>
    </row>
    <row r="73" spans="1:7">
      <c r="A73" t="s">
        <v>1941</v>
      </c>
      <c r="B73" s="7" t="s">
        <v>792</v>
      </c>
      <c r="C73">
        <v>713633875</v>
      </c>
      <c r="D73">
        <v>12</v>
      </c>
      <c r="E73" s="14" t="s">
        <v>1565</v>
      </c>
      <c r="F73" t="s">
        <v>790</v>
      </c>
    </row>
    <row r="74" spans="1:7">
      <c r="A74" t="s">
        <v>1942</v>
      </c>
      <c r="B74" s="7" t="s">
        <v>872</v>
      </c>
      <c r="C74">
        <v>200026925</v>
      </c>
      <c r="D74">
        <v>12</v>
      </c>
      <c r="E74" s="14" t="s">
        <v>1543</v>
      </c>
      <c r="F74" t="s">
        <v>790</v>
      </c>
    </row>
    <row r="75" spans="1:7">
      <c r="A75" t="s">
        <v>1943</v>
      </c>
      <c r="B75" s="7" t="s">
        <v>869</v>
      </c>
      <c r="C75">
        <v>200143077</v>
      </c>
      <c r="D75">
        <v>12</v>
      </c>
      <c r="E75" s="14" t="s">
        <v>1543</v>
      </c>
      <c r="F75" t="s">
        <v>790</v>
      </c>
    </row>
    <row r="76" spans="1:7" ht="30">
      <c r="A76" t="s">
        <v>1944</v>
      </c>
      <c r="B76" s="7" t="s">
        <v>861</v>
      </c>
      <c r="C76">
        <v>204899222</v>
      </c>
      <c r="D76">
        <v>12</v>
      </c>
      <c r="E76" s="14" t="s">
        <v>1565</v>
      </c>
      <c r="F76" t="s">
        <v>790</v>
      </c>
    </row>
    <row r="77" spans="1:7">
      <c r="A77" t="s">
        <v>1945</v>
      </c>
      <c r="B77" s="7" t="s">
        <v>831</v>
      </c>
      <c r="C77">
        <v>447593722</v>
      </c>
      <c r="D77">
        <v>12</v>
      </c>
      <c r="E77" s="14" t="s">
        <v>1565</v>
      </c>
      <c r="F77" t="s">
        <v>790</v>
      </c>
    </row>
    <row r="78" spans="1:7">
      <c r="A78" t="s">
        <v>1946</v>
      </c>
      <c r="B78" s="7" t="s">
        <v>829</v>
      </c>
      <c r="C78">
        <v>467158665</v>
      </c>
      <c r="D78">
        <v>12</v>
      </c>
      <c r="E78" s="14" t="s">
        <v>1565</v>
      </c>
      <c r="F78" t="s">
        <v>790</v>
      </c>
    </row>
    <row r="79" spans="1:7">
      <c r="A79" t="s">
        <v>1947</v>
      </c>
      <c r="B79" s="7" t="s">
        <v>873</v>
      </c>
      <c r="C79">
        <v>100273092</v>
      </c>
      <c r="D79">
        <v>12</v>
      </c>
      <c r="E79" s="14" t="s">
        <v>1565</v>
      </c>
      <c r="F79" t="s">
        <v>790</v>
      </c>
    </row>
    <row r="80" spans="1:7">
      <c r="A80" t="s">
        <v>1948</v>
      </c>
      <c r="B80" s="7" t="s">
        <v>849</v>
      </c>
      <c r="C80">
        <v>274264323</v>
      </c>
      <c r="D80">
        <v>12</v>
      </c>
      <c r="E80" s="14" t="s">
        <v>1547</v>
      </c>
      <c r="F80" t="s">
        <v>790</v>
      </c>
    </row>
    <row r="81" spans="1:11">
      <c r="A81" t="s">
        <v>1949</v>
      </c>
      <c r="B81" s="7" t="s">
        <v>813</v>
      </c>
      <c r="C81">
        <v>609091999</v>
      </c>
      <c r="D81">
        <v>12</v>
      </c>
      <c r="E81" s="14" t="s">
        <v>1565</v>
      </c>
      <c r="F81" t="s">
        <v>790</v>
      </c>
      <c r="G81" t="s">
        <v>2083</v>
      </c>
      <c r="I81" t="s">
        <v>2084</v>
      </c>
      <c r="K81" t="s">
        <v>2082</v>
      </c>
    </row>
    <row r="82" spans="1:11" ht="30">
      <c r="A82" t="s">
        <v>1950</v>
      </c>
      <c r="B82" s="7" t="s">
        <v>839</v>
      </c>
      <c r="C82">
        <v>381144542</v>
      </c>
      <c r="D82">
        <v>12</v>
      </c>
      <c r="E82" s="14" t="s">
        <v>1565</v>
      </c>
      <c r="F82" t="s">
        <v>790</v>
      </c>
    </row>
    <row r="83" spans="1:11">
      <c r="A83" t="s">
        <v>1951</v>
      </c>
      <c r="B83" s="7" t="s">
        <v>834</v>
      </c>
      <c r="C83">
        <v>418711844</v>
      </c>
      <c r="D83">
        <v>12</v>
      </c>
      <c r="E83" s="14" t="s">
        <v>1565</v>
      </c>
      <c r="F83" t="s">
        <v>790</v>
      </c>
    </row>
    <row r="84" spans="1:11">
      <c r="A84" t="s">
        <v>1952</v>
      </c>
      <c r="B84" s="7" t="s">
        <v>875</v>
      </c>
      <c r="C84">
        <v>100270530</v>
      </c>
      <c r="D84">
        <v>12</v>
      </c>
      <c r="E84" s="14" t="s">
        <v>1565</v>
      </c>
      <c r="F84" t="s">
        <v>790</v>
      </c>
    </row>
    <row r="85" spans="1:11" ht="30">
      <c r="A85" t="s">
        <v>1953</v>
      </c>
      <c r="B85" s="7" t="s">
        <v>818</v>
      </c>
      <c r="C85">
        <v>552569275</v>
      </c>
      <c r="D85">
        <v>12</v>
      </c>
      <c r="E85" s="14" t="s">
        <v>1565</v>
      </c>
      <c r="F85" t="s">
        <v>790</v>
      </c>
    </row>
    <row r="86" spans="1:11">
      <c r="A86" t="s">
        <v>1954</v>
      </c>
      <c r="B86" s="7" t="s">
        <v>795</v>
      </c>
      <c r="C86">
        <v>679992278</v>
      </c>
      <c r="D86">
        <v>12</v>
      </c>
      <c r="E86" s="14" t="s">
        <v>1565</v>
      </c>
      <c r="F86" t="s">
        <v>790</v>
      </c>
    </row>
    <row r="87" spans="1:11">
      <c r="A87" t="s">
        <v>1955</v>
      </c>
      <c r="B87" s="7" t="s">
        <v>874</v>
      </c>
      <c r="C87">
        <v>100270743</v>
      </c>
      <c r="D87">
        <v>12</v>
      </c>
      <c r="E87" s="14" t="s">
        <v>1565</v>
      </c>
      <c r="F87" t="s">
        <v>790</v>
      </c>
    </row>
    <row r="88" spans="1:11">
      <c r="A88" t="s">
        <v>1956</v>
      </c>
      <c r="B88" s="7" t="s">
        <v>827</v>
      </c>
      <c r="C88">
        <v>474962733</v>
      </c>
      <c r="D88">
        <v>12</v>
      </c>
      <c r="E88" s="14" t="s">
        <v>1565</v>
      </c>
      <c r="F88" t="s">
        <v>790</v>
      </c>
    </row>
    <row r="89" spans="1:11">
      <c r="A89" t="s">
        <v>1957</v>
      </c>
      <c r="B89" s="7" t="s">
        <v>833</v>
      </c>
      <c r="C89">
        <v>435382799</v>
      </c>
      <c r="D89">
        <v>12</v>
      </c>
      <c r="E89" s="14" t="s">
        <v>1565</v>
      </c>
      <c r="F89" t="s">
        <v>790</v>
      </c>
    </row>
    <row r="90" spans="1:11">
      <c r="A90" t="s">
        <v>1958</v>
      </c>
      <c r="B90" s="7" t="s">
        <v>851</v>
      </c>
      <c r="C90">
        <v>272098558</v>
      </c>
      <c r="D90">
        <v>12</v>
      </c>
      <c r="E90" s="14" t="s">
        <v>1565</v>
      </c>
      <c r="F90" t="s">
        <v>790</v>
      </c>
    </row>
    <row r="91" spans="1:11">
      <c r="A91" t="s">
        <v>1959</v>
      </c>
      <c r="B91" s="7" t="s">
        <v>848</v>
      </c>
      <c r="C91">
        <v>286483785</v>
      </c>
      <c r="D91">
        <v>12</v>
      </c>
      <c r="E91" s="14" t="s">
        <v>1547</v>
      </c>
      <c r="F91" t="s">
        <v>790</v>
      </c>
    </row>
    <row r="92" spans="1:11">
      <c r="A92" t="s">
        <v>1960</v>
      </c>
      <c r="B92" s="7" t="s">
        <v>817</v>
      </c>
      <c r="C92">
        <v>584664052</v>
      </c>
      <c r="D92">
        <v>12</v>
      </c>
      <c r="E92" s="14" t="s">
        <v>1565</v>
      </c>
      <c r="F92" t="s">
        <v>790</v>
      </c>
    </row>
    <row r="93" spans="1:11">
      <c r="A93" t="s">
        <v>1961</v>
      </c>
      <c r="B93" s="7" t="s">
        <v>810</v>
      </c>
      <c r="C93">
        <v>626371988</v>
      </c>
      <c r="D93">
        <v>12</v>
      </c>
      <c r="E93" s="14" t="s">
        <v>1565</v>
      </c>
      <c r="F93" t="s">
        <v>790</v>
      </c>
    </row>
    <row r="94" spans="1:11">
      <c r="A94" t="s">
        <v>1962</v>
      </c>
      <c r="B94" s="7" t="s">
        <v>852</v>
      </c>
      <c r="C94">
        <v>256977348</v>
      </c>
      <c r="D94">
        <v>12</v>
      </c>
      <c r="E94" s="14" t="s">
        <v>1565</v>
      </c>
      <c r="F94" t="s">
        <v>790</v>
      </c>
    </row>
    <row r="95" spans="1:11">
      <c r="A95" t="s">
        <v>1963</v>
      </c>
      <c r="B95" s="7" t="s">
        <v>865</v>
      </c>
      <c r="C95">
        <v>200109383</v>
      </c>
      <c r="D95">
        <v>12</v>
      </c>
      <c r="E95" s="14" t="s">
        <v>1565</v>
      </c>
      <c r="F95" t="s">
        <v>790</v>
      </c>
    </row>
    <row r="96" spans="1:11">
      <c r="A96" t="s">
        <v>1964</v>
      </c>
      <c r="B96" s="7" t="s">
        <v>865</v>
      </c>
      <c r="C96">
        <v>200312782</v>
      </c>
      <c r="D96">
        <v>12</v>
      </c>
      <c r="E96" s="14" t="s">
        <v>1565</v>
      </c>
      <c r="F96" t="s">
        <v>790</v>
      </c>
    </row>
    <row r="97" spans="1:9">
      <c r="A97" t="s">
        <v>1965</v>
      </c>
      <c r="B97" s="7" t="s">
        <v>1749</v>
      </c>
      <c r="C97">
        <v>609001744</v>
      </c>
      <c r="D97">
        <v>12</v>
      </c>
      <c r="E97" s="14" t="s">
        <v>1565</v>
      </c>
      <c r="F97" t="s">
        <v>790</v>
      </c>
    </row>
    <row r="98" spans="1:9">
      <c r="A98" t="s">
        <v>1966</v>
      </c>
      <c r="B98" s="7" t="s">
        <v>931</v>
      </c>
      <c r="D98">
        <v>12</v>
      </c>
      <c r="E98" s="14" t="s">
        <v>1565</v>
      </c>
      <c r="F98" t="s">
        <v>838</v>
      </c>
    </row>
    <row r="99" spans="1:9">
      <c r="A99" t="s">
        <v>1967</v>
      </c>
      <c r="B99" s="7" t="s">
        <v>920</v>
      </c>
      <c r="D99">
        <v>12</v>
      </c>
      <c r="E99" s="14" t="s">
        <v>1570</v>
      </c>
      <c r="F99" t="s">
        <v>838</v>
      </c>
    </row>
    <row r="100" spans="1:9">
      <c r="A100" t="s">
        <v>1968</v>
      </c>
      <c r="B100" s="7" t="s">
        <v>896</v>
      </c>
      <c r="D100">
        <v>12</v>
      </c>
      <c r="E100" s="14" t="s">
        <v>1547</v>
      </c>
      <c r="F100" t="s">
        <v>838</v>
      </c>
    </row>
    <row r="101" spans="1:9" ht="30">
      <c r="A101" t="s">
        <v>1969</v>
      </c>
      <c r="B101" s="7" t="s">
        <v>902</v>
      </c>
      <c r="D101">
        <v>12</v>
      </c>
      <c r="E101" s="14" t="s">
        <v>1547</v>
      </c>
      <c r="F101" t="s">
        <v>838</v>
      </c>
    </row>
    <row r="102" spans="1:9" ht="30">
      <c r="A102" t="s">
        <v>1970</v>
      </c>
      <c r="B102" s="7" t="s">
        <v>881</v>
      </c>
      <c r="D102">
        <v>12</v>
      </c>
      <c r="E102" s="14" t="s">
        <v>1547</v>
      </c>
      <c r="F102" t="s">
        <v>838</v>
      </c>
    </row>
    <row r="103" spans="1:9" ht="30">
      <c r="A103" t="s">
        <v>1971</v>
      </c>
      <c r="B103" s="7" t="s">
        <v>917</v>
      </c>
      <c r="D103">
        <v>12</v>
      </c>
      <c r="E103" s="14" t="s">
        <v>1547</v>
      </c>
      <c r="F103" t="s">
        <v>838</v>
      </c>
    </row>
    <row r="104" spans="1:9">
      <c r="A104" t="s">
        <v>1972</v>
      </c>
      <c r="B104" s="7" t="s">
        <v>932</v>
      </c>
      <c r="D104">
        <v>12</v>
      </c>
      <c r="E104" s="14" t="s">
        <v>1547</v>
      </c>
      <c r="F104" t="s">
        <v>838</v>
      </c>
    </row>
    <row r="105" spans="1:9">
      <c r="A105" t="s">
        <v>1973</v>
      </c>
      <c r="B105" s="7" t="s">
        <v>879</v>
      </c>
      <c r="D105">
        <v>12</v>
      </c>
      <c r="E105" s="14" t="s">
        <v>1547</v>
      </c>
      <c r="F105" t="s">
        <v>838</v>
      </c>
      <c r="G105" t="s">
        <v>880</v>
      </c>
    </row>
    <row r="106" spans="1:9">
      <c r="A106" t="s">
        <v>1974</v>
      </c>
      <c r="B106" s="7" t="s">
        <v>928</v>
      </c>
      <c r="D106">
        <v>12</v>
      </c>
      <c r="E106" s="14" t="s">
        <v>1547</v>
      </c>
      <c r="F106" t="s">
        <v>838</v>
      </c>
      <c r="G106" t="s">
        <v>929</v>
      </c>
      <c r="H106" t="s">
        <v>900</v>
      </c>
      <c r="I106" t="s">
        <v>930</v>
      </c>
    </row>
    <row r="107" spans="1:9">
      <c r="A107" t="s">
        <v>1975</v>
      </c>
      <c r="B107" s="57" t="s">
        <v>877</v>
      </c>
      <c r="D107">
        <v>12</v>
      </c>
      <c r="E107" s="14" t="s">
        <v>1547</v>
      </c>
      <c r="F107" t="s">
        <v>838</v>
      </c>
      <c r="G107" t="s">
        <v>878</v>
      </c>
    </row>
    <row r="108" spans="1:9">
      <c r="A108" t="s">
        <v>1976</v>
      </c>
      <c r="B108" s="57" t="s">
        <v>837</v>
      </c>
      <c r="C108">
        <v>410762539</v>
      </c>
      <c r="D108">
        <v>12</v>
      </c>
      <c r="E108" s="14" t="s">
        <v>1547</v>
      </c>
      <c r="F108" t="s">
        <v>838</v>
      </c>
    </row>
    <row r="109" spans="1:9" ht="30">
      <c r="A109" t="s">
        <v>1977</v>
      </c>
      <c r="B109" s="57" t="s">
        <v>916</v>
      </c>
      <c r="D109">
        <v>12</v>
      </c>
      <c r="E109" s="14" t="s">
        <v>1547</v>
      </c>
      <c r="F109" t="s">
        <v>838</v>
      </c>
    </row>
    <row r="110" spans="1:9">
      <c r="A110" t="s">
        <v>1978</v>
      </c>
      <c r="B110" s="57" t="s">
        <v>924</v>
      </c>
      <c r="D110">
        <v>12</v>
      </c>
      <c r="E110" s="14" t="s">
        <v>1547</v>
      </c>
      <c r="F110" t="s">
        <v>838</v>
      </c>
    </row>
    <row r="111" spans="1:9">
      <c r="A111" t="s">
        <v>1979</v>
      </c>
      <c r="B111" s="57" t="s">
        <v>1050</v>
      </c>
      <c r="D111">
        <v>42</v>
      </c>
      <c r="E111" s="14" t="s">
        <v>1565</v>
      </c>
      <c r="F111" t="s">
        <v>838</v>
      </c>
      <c r="G111" t="s">
        <v>1078</v>
      </c>
    </row>
    <row r="112" spans="1:9">
      <c r="A112" t="s">
        <v>1980</v>
      </c>
      <c r="B112" s="58" t="s">
        <v>1051</v>
      </c>
      <c r="D112">
        <v>42</v>
      </c>
      <c r="E112" s="14" t="s">
        <v>1565</v>
      </c>
      <c r="F112" t="s">
        <v>838</v>
      </c>
      <c r="G112" t="s">
        <v>1078</v>
      </c>
    </row>
    <row r="113" spans="1:7">
      <c r="A113" t="s">
        <v>1981</v>
      </c>
      <c r="B113" s="58" t="s">
        <v>1052</v>
      </c>
      <c r="D113">
        <v>42</v>
      </c>
      <c r="E113" s="14" t="s">
        <v>1565</v>
      </c>
      <c r="F113" t="s">
        <v>838</v>
      </c>
      <c r="G113" t="s">
        <v>1078</v>
      </c>
    </row>
    <row r="114" spans="1:7">
      <c r="A114" t="s">
        <v>1982</v>
      </c>
      <c r="B114" s="57" t="s">
        <v>1053</v>
      </c>
      <c r="D114">
        <v>42</v>
      </c>
      <c r="E114" s="14" t="s">
        <v>1565</v>
      </c>
      <c r="F114" t="s">
        <v>838</v>
      </c>
      <c r="G114" t="s">
        <v>1078</v>
      </c>
    </row>
    <row r="115" spans="1:7">
      <c r="A115" t="s">
        <v>1983</v>
      </c>
      <c r="B115" s="57" t="s">
        <v>1054</v>
      </c>
      <c r="D115">
        <v>42</v>
      </c>
      <c r="E115" s="14" t="s">
        <v>1565</v>
      </c>
      <c r="F115" t="s">
        <v>838</v>
      </c>
      <c r="G115" t="s">
        <v>1078</v>
      </c>
    </row>
    <row r="116" spans="1:7">
      <c r="A116" t="s">
        <v>1984</v>
      </c>
      <c r="B116" s="57" t="s">
        <v>1055</v>
      </c>
      <c r="D116">
        <v>42</v>
      </c>
      <c r="E116" s="14" t="s">
        <v>1565</v>
      </c>
      <c r="F116" t="s">
        <v>838</v>
      </c>
      <c r="G116" t="s">
        <v>1078</v>
      </c>
    </row>
    <row r="117" spans="1:7">
      <c r="A117" t="s">
        <v>1985</v>
      </c>
      <c r="B117" s="58" t="s">
        <v>1056</v>
      </c>
      <c r="D117">
        <v>42</v>
      </c>
      <c r="E117" s="14" t="s">
        <v>1565</v>
      </c>
      <c r="F117" t="s">
        <v>838</v>
      </c>
      <c r="G117" t="s">
        <v>1078</v>
      </c>
    </row>
    <row r="118" spans="1:7">
      <c r="A118" t="s">
        <v>1986</v>
      </c>
      <c r="B118" s="58" t="s">
        <v>1057</v>
      </c>
      <c r="D118">
        <v>42</v>
      </c>
      <c r="E118" s="14" t="s">
        <v>1565</v>
      </c>
      <c r="F118" t="s">
        <v>838</v>
      </c>
      <c r="G118" t="s">
        <v>1078</v>
      </c>
    </row>
    <row r="119" spans="1:7">
      <c r="A119" t="s">
        <v>1987</v>
      </c>
      <c r="B119" s="57" t="s">
        <v>1058</v>
      </c>
      <c r="D119">
        <v>42</v>
      </c>
      <c r="E119" s="14" t="s">
        <v>1565</v>
      </c>
      <c r="F119" t="s">
        <v>838</v>
      </c>
      <c r="G119" t="s">
        <v>1078</v>
      </c>
    </row>
    <row r="120" spans="1:7">
      <c r="A120" t="s">
        <v>1988</v>
      </c>
      <c r="B120" s="57" t="s">
        <v>1059</v>
      </c>
      <c r="D120">
        <v>42</v>
      </c>
      <c r="E120" s="14" t="s">
        <v>1565</v>
      </c>
      <c r="F120" t="s">
        <v>838</v>
      </c>
      <c r="G120" t="s">
        <v>1078</v>
      </c>
    </row>
    <row r="121" spans="1:7">
      <c r="A121" t="s">
        <v>1989</v>
      </c>
      <c r="B121" s="57" t="s">
        <v>1060</v>
      </c>
      <c r="D121">
        <v>42</v>
      </c>
      <c r="E121" s="14" t="s">
        <v>1565</v>
      </c>
      <c r="F121" t="s">
        <v>838</v>
      </c>
      <c r="G121" t="s">
        <v>1078</v>
      </c>
    </row>
    <row r="122" spans="1:7">
      <c r="A122" t="s">
        <v>1990</v>
      </c>
      <c r="B122" s="57" t="s">
        <v>1061</v>
      </c>
      <c r="D122">
        <v>42</v>
      </c>
      <c r="E122" s="14" t="s">
        <v>1565</v>
      </c>
      <c r="F122" t="s">
        <v>838</v>
      </c>
      <c r="G122" t="s">
        <v>1078</v>
      </c>
    </row>
    <row r="123" spans="1:7">
      <c r="A123" t="s">
        <v>1991</v>
      </c>
      <c r="B123" s="58" t="s">
        <v>1062</v>
      </c>
      <c r="D123">
        <v>42</v>
      </c>
      <c r="E123" s="14" t="s">
        <v>1565</v>
      </c>
      <c r="F123" t="s">
        <v>838</v>
      </c>
      <c r="G123" t="s">
        <v>1078</v>
      </c>
    </row>
    <row r="124" spans="1:7">
      <c r="A124" t="s">
        <v>1992</v>
      </c>
      <c r="B124" s="58" t="s">
        <v>1063</v>
      </c>
      <c r="D124">
        <v>42</v>
      </c>
      <c r="E124" s="14" t="s">
        <v>1565</v>
      </c>
      <c r="F124" t="s">
        <v>838</v>
      </c>
      <c r="G124" t="s">
        <v>1078</v>
      </c>
    </row>
    <row r="125" spans="1:7">
      <c r="A125" t="s">
        <v>1993</v>
      </c>
      <c r="B125" s="57" t="s">
        <v>1065</v>
      </c>
      <c r="D125">
        <v>42</v>
      </c>
      <c r="E125" s="14" t="s">
        <v>1565</v>
      </c>
      <c r="F125" t="s">
        <v>838</v>
      </c>
      <c r="G125" t="s">
        <v>1078</v>
      </c>
    </row>
    <row r="126" spans="1:7">
      <c r="A126" t="s">
        <v>1994</v>
      </c>
      <c r="B126" s="58" t="s">
        <v>1066</v>
      </c>
      <c r="D126">
        <v>42</v>
      </c>
      <c r="E126" s="14" t="s">
        <v>1565</v>
      </c>
      <c r="F126" t="s">
        <v>838</v>
      </c>
      <c r="G126" t="s">
        <v>1078</v>
      </c>
    </row>
    <row r="127" spans="1:7">
      <c r="A127" t="s">
        <v>1995</v>
      </c>
      <c r="B127" s="58" t="s">
        <v>1068</v>
      </c>
      <c r="D127">
        <v>42</v>
      </c>
      <c r="E127" s="14" t="s">
        <v>1565</v>
      </c>
      <c r="F127" t="s">
        <v>838</v>
      </c>
      <c r="G127" t="s">
        <v>1078</v>
      </c>
    </row>
    <row r="128" spans="1:7">
      <c r="A128" t="s">
        <v>1996</v>
      </c>
      <c r="B128" s="57" t="s">
        <v>1074</v>
      </c>
      <c r="D128">
        <v>42</v>
      </c>
      <c r="E128" s="14" t="s">
        <v>1565</v>
      </c>
      <c r="F128" t="s">
        <v>838</v>
      </c>
      <c r="G128" t="s">
        <v>1078</v>
      </c>
    </row>
    <row r="129" spans="1:8">
      <c r="A129" t="s">
        <v>1997</v>
      </c>
      <c r="B129" s="57" t="s">
        <v>1070</v>
      </c>
      <c r="D129">
        <v>12</v>
      </c>
      <c r="E129" s="14" t="s">
        <v>1565</v>
      </c>
      <c r="F129" t="s">
        <v>838</v>
      </c>
      <c r="G129" t="s">
        <v>1078</v>
      </c>
    </row>
    <row r="130" spans="1:8">
      <c r="A130" t="s">
        <v>1998</v>
      </c>
      <c r="B130" s="58" t="s">
        <v>1071</v>
      </c>
      <c r="D130">
        <v>38</v>
      </c>
      <c r="E130" s="14" t="s">
        <v>1543</v>
      </c>
      <c r="F130" t="s">
        <v>838</v>
      </c>
      <c r="G130" t="s">
        <v>1078</v>
      </c>
    </row>
    <row r="131" spans="1:8">
      <c r="A131" t="s">
        <v>1999</v>
      </c>
      <c r="B131" s="58" t="s">
        <v>1072</v>
      </c>
      <c r="D131">
        <v>38</v>
      </c>
      <c r="E131" s="14" t="s">
        <v>1543</v>
      </c>
      <c r="F131" t="s">
        <v>838</v>
      </c>
      <c r="G131" t="s">
        <v>1078</v>
      </c>
    </row>
    <row r="132" spans="1:8">
      <c r="A132" t="s">
        <v>2000</v>
      </c>
      <c r="B132" s="59" t="s">
        <v>1073</v>
      </c>
      <c r="D132">
        <v>38</v>
      </c>
      <c r="E132" s="14" t="s">
        <v>1543</v>
      </c>
      <c r="F132" t="s">
        <v>838</v>
      </c>
      <c r="G132" t="s">
        <v>1078</v>
      </c>
    </row>
    <row r="133" spans="1:8">
      <c r="A133" t="s">
        <v>2001</v>
      </c>
      <c r="B133" s="60" t="s">
        <v>1432</v>
      </c>
      <c r="C133" s="11"/>
      <c r="D133">
        <v>12</v>
      </c>
      <c r="E133" s="14" t="s">
        <v>1565</v>
      </c>
      <c r="F133" t="s">
        <v>790</v>
      </c>
    </row>
    <row r="134" spans="1:8" ht="30">
      <c r="A134" t="s">
        <v>2002</v>
      </c>
      <c r="B134" s="56" t="s">
        <v>1553</v>
      </c>
      <c r="C134" s="11"/>
      <c r="D134">
        <v>30</v>
      </c>
      <c r="E134" s="14" t="s">
        <v>1547</v>
      </c>
      <c r="F134" t="s">
        <v>838</v>
      </c>
    </row>
    <row r="135" spans="1:8" ht="15.75">
      <c r="A135" t="s">
        <v>2003</v>
      </c>
      <c r="B135" s="61" t="s">
        <v>1556</v>
      </c>
      <c r="C135" s="25">
        <v>616271379</v>
      </c>
      <c r="D135">
        <v>12</v>
      </c>
      <c r="E135" s="14" t="s">
        <v>1543</v>
      </c>
      <c r="F135" t="s">
        <v>838</v>
      </c>
      <c r="H135" t="s">
        <v>1557</v>
      </c>
    </row>
    <row r="136" spans="1:8" ht="15.75">
      <c r="A136" t="s">
        <v>2004</v>
      </c>
      <c r="B136" s="61" t="s">
        <v>1605</v>
      </c>
      <c r="C136" s="26"/>
      <c r="D136">
        <v>12</v>
      </c>
      <c r="E136" s="14">
        <v>80</v>
      </c>
    </row>
    <row r="137" spans="1:8" ht="31.5">
      <c r="A137" t="s">
        <v>2005</v>
      </c>
      <c r="B137" s="61" t="s">
        <v>1606</v>
      </c>
      <c r="C137">
        <v>494337745</v>
      </c>
      <c r="D137">
        <v>12</v>
      </c>
      <c r="E137" s="14"/>
    </row>
    <row r="138" spans="1:8">
      <c r="A138" t="s">
        <v>2006</v>
      </c>
      <c r="B138" s="56" t="s">
        <v>1049</v>
      </c>
      <c r="D138">
        <v>42</v>
      </c>
      <c r="E138" s="14" t="s">
        <v>1565</v>
      </c>
      <c r="F138" t="s">
        <v>838</v>
      </c>
      <c r="G138" t="s">
        <v>1078</v>
      </c>
    </row>
    <row r="139" spans="1:8" ht="31.5">
      <c r="A139" t="s">
        <v>2007</v>
      </c>
      <c r="B139" s="61" t="s">
        <v>1613</v>
      </c>
      <c r="C139" s="26">
        <v>646073672</v>
      </c>
      <c r="D139">
        <v>12</v>
      </c>
      <c r="E139" s="14"/>
    </row>
    <row r="140" spans="1:8" ht="15.75">
      <c r="A140" t="s">
        <v>2008</v>
      </c>
      <c r="B140" s="61" t="s">
        <v>1614</v>
      </c>
      <c r="C140" s="26">
        <v>504788485</v>
      </c>
      <c r="D140">
        <v>12</v>
      </c>
      <c r="E140" s="14"/>
    </row>
    <row r="141" spans="1:8" ht="15.75">
      <c r="A141" t="s">
        <v>2009</v>
      </c>
      <c r="B141" s="61" t="s">
        <v>1672</v>
      </c>
      <c r="C141">
        <v>479467730</v>
      </c>
      <c r="D141">
        <v>12</v>
      </c>
      <c r="E141" s="14"/>
    </row>
    <row r="142" spans="1:8" ht="15.75">
      <c r="A142" t="s">
        <v>2010</v>
      </c>
      <c r="B142" s="61" t="s">
        <v>1675</v>
      </c>
      <c r="C142">
        <v>200240196</v>
      </c>
      <c r="D142">
        <v>12</v>
      </c>
      <c r="E142" s="14"/>
    </row>
    <row r="143" spans="1:8" ht="15.75">
      <c r="A143" t="s">
        <v>2011</v>
      </c>
      <c r="B143" s="61" t="s">
        <v>1674</v>
      </c>
      <c r="C143">
        <v>663118387</v>
      </c>
      <c r="D143">
        <v>12</v>
      </c>
      <c r="E143" s="14"/>
    </row>
    <row r="144" spans="1:8" ht="15.75">
      <c r="A144" t="s">
        <v>2012</v>
      </c>
      <c r="B144" s="61" t="s">
        <v>1676</v>
      </c>
      <c r="C144">
        <v>759720215</v>
      </c>
      <c r="D144">
        <v>12</v>
      </c>
      <c r="E144" s="14"/>
    </row>
    <row r="145" spans="1:7" ht="30">
      <c r="A145" t="s">
        <v>2013</v>
      </c>
      <c r="B145" s="7" t="s">
        <v>1715</v>
      </c>
      <c r="C145">
        <v>331271184</v>
      </c>
      <c r="D145">
        <v>12</v>
      </c>
      <c r="E145" s="14"/>
    </row>
    <row r="146" spans="1:7" ht="47.25">
      <c r="A146" t="s">
        <v>2014</v>
      </c>
      <c r="B146" s="61" t="s">
        <v>1677</v>
      </c>
      <c r="C146" s="11"/>
      <c r="D146">
        <v>12</v>
      </c>
      <c r="E146" s="14"/>
    </row>
    <row r="147" spans="1:7">
      <c r="A147" t="s">
        <v>2015</v>
      </c>
      <c r="B147" s="60" t="s">
        <v>1678</v>
      </c>
      <c r="C147" s="11">
        <v>735475547</v>
      </c>
      <c r="D147">
        <v>12</v>
      </c>
      <c r="E147" s="14"/>
    </row>
    <row r="148" spans="1:7" ht="30">
      <c r="A148" t="s">
        <v>2016</v>
      </c>
      <c r="B148" s="60" t="s">
        <v>1747</v>
      </c>
      <c r="C148" s="11">
        <v>100383289</v>
      </c>
      <c r="D148">
        <v>12</v>
      </c>
      <c r="E148" s="14"/>
    </row>
    <row r="149" spans="1:7">
      <c r="A149" t="s">
        <v>2017</v>
      </c>
      <c r="B149" s="60" t="s">
        <v>1714</v>
      </c>
      <c r="C149" s="11">
        <v>100295584</v>
      </c>
      <c r="D149">
        <v>12</v>
      </c>
      <c r="E149" s="14"/>
    </row>
    <row r="150" spans="1:7">
      <c r="A150" t="s">
        <v>2018</v>
      </c>
      <c r="B150" s="60" t="s">
        <v>1680</v>
      </c>
      <c r="C150" s="11">
        <v>753531704</v>
      </c>
      <c r="D150">
        <v>12</v>
      </c>
      <c r="E150" s="14"/>
    </row>
    <row r="151" spans="1:7" ht="30">
      <c r="A151" t="s">
        <v>2019</v>
      </c>
      <c r="B151" s="60" t="s">
        <v>1690</v>
      </c>
      <c r="C151">
        <v>668099313</v>
      </c>
      <c r="D151">
        <v>12</v>
      </c>
      <c r="E151" s="14"/>
    </row>
    <row r="152" spans="1:7">
      <c r="A152" t="s">
        <v>2020</v>
      </c>
      <c r="B152" s="60" t="s">
        <v>1716</v>
      </c>
      <c r="C152" s="11"/>
      <c r="D152">
        <v>12</v>
      </c>
      <c r="E152" s="14"/>
    </row>
    <row r="153" spans="1:7">
      <c r="A153" t="s">
        <v>2021</v>
      </c>
      <c r="B153" s="7" t="s">
        <v>1673</v>
      </c>
      <c r="C153">
        <v>200330624</v>
      </c>
      <c r="D153">
        <v>12</v>
      </c>
      <c r="E153" s="14"/>
    </row>
    <row r="154" spans="1:7">
      <c r="A154" t="s">
        <v>2022</v>
      </c>
      <c r="B154" s="7" t="s">
        <v>1785</v>
      </c>
      <c r="C154" s="11">
        <v>766879372</v>
      </c>
      <c r="D154">
        <v>12</v>
      </c>
      <c r="E154" s="14"/>
    </row>
    <row r="155" spans="1:7">
      <c r="A155" t="s">
        <v>2023</v>
      </c>
      <c r="B155" s="7" t="s">
        <v>1812</v>
      </c>
      <c r="C155">
        <v>347692389</v>
      </c>
      <c r="D155">
        <v>12</v>
      </c>
      <c r="E155" s="14"/>
      <c r="F155" t="s">
        <v>1813</v>
      </c>
      <c r="G155" t="s">
        <v>1814</v>
      </c>
    </row>
    <row r="156" spans="1:7">
      <c r="A156" t="s">
        <v>2024</v>
      </c>
      <c r="B156" s="7" t="s">
        <v>1816</v>
      </c>
      <c r="C156">
        <v>769603483</v>
      </c>
      <c r="D156">
        <v>12</v>
      </c>
      <c r="E156" s="14"/>
    </row>
    <row r="157" spans="1:7" ht="30">
      <c r="A157" t="s">
        <v>2025</v>
      </c>
      <c r="B157" s="7" t="s">
        <v>1817</v>
      </c>
      <c r="C157" s="11"/>
      <c r="D157">
        <v>12</v>
      </c>
      <c r="E157" s="14"/>
    </row>
    <row r="158" spans="1:7" ht="30">
      <c r="A158" t="s">
        <v>2026</v>
      </c>
      <c r="B158" s="7" t="s">
        <v>1825</v>
      </c>
      <c r="C158">
        <v>699143322</v>
      </c>
      <c r="D158">
        <v>12</v>
      </c>
      <c r="E158" s="14"/>
    </row>
    <row r="159" spans="1:7" ht="31.5">
      <c r="A159" t="s">
        <v>2027</v>
      </c>
      <c r="B159" s="61" t="s">
        <v>2086</v>
      </c>
      <c r="C159" s="30">
        <v>577456954</v>
      </c>
      <c r="D159">
        <v>12</v>
      </c>
      <c r="E159" s="14"/>
    </row>
    <row r="160" spans="1:7" ht="15.75">
      <c r="A160" t="s">
        <v>2028</v>
      </c>
      <c r="B160" s="61" t="s">
        <v>1840</v>
      </c>
      <c r="C160" s="11"/>
      <c r="D160">
        <v>12</v>
      </c>
      <c r="E160" s="14"/>
    </row>
    <row r="161" spans="1:11" ht="15.75">
      <c r="A161" t="s">
        <v>2029</v>
      </c>
      <c r="B161" s="61" t="s">
        <v>1841</v>
      </c>
      <c r="C161" s="11"/>
      <c r="D161">
        <v>42</v>
      </c>
      <c r="E161" s="14"/>
    </row>
    <row r="162" spans="1:11" ht="47.25">
      <c r="A162" t="s">
        <v>2030</v>
      </c>
      <c r="B162" s="61" t="s">
        <v>1861</v>
      </c>
      <c r="C162" s="11"/>
      <c r="D162">
        <v>12</v>
      </c>
      <c r="E162" s="14"/>
      <c r="K162" t="s">
        <v>1862</v>
      </c>
    </row>
    <row r="163" spans="1:11" ht="45">
      <c r="A163" t="s">
        <v>2031</v>
      </c>
      <c r="B163" s="61" t="s">
        <v>1863</v>
      </c>
      <c r="C163" s="11">
        <v>570256240</v>
      </c>
      <c r="D163">
        <v>12</v>
      </c>
      <c r="E163" s="14"/>
      <c r="F163" s="7" t="s">
        <v>1864</v>
      </c>
      <c r="G163" t="s">
        <v>1865</v>
      </c>
      <c r="H163" t="s">
        <v>1866</v>
      </c>
      <c r="I163" t="s">
        <v>1867</v>
      </c>
    </row>
    <row r="164" spans="1:11" ht="31.5">
      <c r="A164" t="s">
        <v>2032</v>
      </c>
      <c r="B164" s="61" t="s">
        <v>1869</v>
      </c>
      <c r="C164" s="11"/>
      <c r="D164">
        <v>12</v>
      </c>
      <c r="E164" s="14"/>
      <c r="F164" t="s">
        <v>1868</v>
      </c>
    </row>
    <row r="165" spans="1:11">
      <c r="A165" t="s">
        <v>2033</v>
      </c>
      <c r="B165" t="s">
        <v>1870</v>
      </c>
      <c r="C165">
        <v>764061763</v>
      </c>
      <c r="D165">
        <v>12</v>
      </c>
      <c r="E165" s="14"/>
    </row>
    <row r="166" spans="1:11" ht="31.5">
      <c r="A166" t="s">
        <v>2034</v>
      </c>
      <c r="B166" s="61" t="s">
        <v>1871</v>
      </c>
      <c r="C166" s="11">
        <v>205074944</v>
      </c>
      <c r="D166">
        <v>12</v>
      </c>
      <c r="E166" s="14"/>
    </row>
    <row r="167" spans="1:11" ht="31.5">
      <c r="A167" t="s">
        <v>2035</v>
      </c>
      <c r="B167" s="61" t="s">
        <v>2087</v>
      </c>
      <c r="C167" s="30">
        <v>205002676</v>
      </c>
      <c r="D167">
        <v>12</v>
      </c>
      <c r="E167" s="14"/>
    </row>
    <row r="168" spans="1:11" ht="15.75">
      <c r="A168" t="s">
        <v>2036</v>
      </c>
      <c r="B168" s="61" t="s">
        <v>2071</v>
      </c>
      <c r="C168" s="30">
        <v>371613442</v>
      </c>
      <c r="D168">
        <v>12</v>
      </c>
      <c r="E168" s="14"/>
    </row>
    <row r="169" spans="1:11" ht="31.5">
      <c r="A169" t="s">
        <v>2040</v>
      </c>
      <c r="B169" s="61" t="s">
        <v>2039</v>
      </c>
      <c r="C169" s="11"/>
      <c r="D169">
        <v>12</v>
      </c>
      <c r="E169" s="14"/>
    </row>
    <row r="170" spans="1:11">
      <c r="A170" t="s">
        <v>2041</v>
      </c>
      <c r="B170" s="69" t="s">
        <v>2088</v>
      </c>
      <c r="C170" s="30">
        <v>347418414</v>
      </c>
      <c r="D170">
        <v>12</v>
      </c>
      <c r="E170" s="14"/>
    </row>
    <row r="171" spans="1:11" ht="15.75">
      <c r="A171" t="s">
        <v>2072</v>
      </c>
      <c r="B171" s="61" t="s">
        <v>2073</v>
      </c>
      <c r="C171" s="11"/>
      <c r="D171">
        <v>12</v>
      </c>
      <c r="E171" s="14"/>
    </row>
    <row r="172" spans="1:11" ht="32.25" thickBot="1">
      <c r="A172" t="s">
        <v>2075</v>
      </c>
      <c r="B172" s="61" t="s">
        <v>2076</v>
      </c>
      <c r="C172" s="68">
        <v>616112459</v>
      </c>
      <c r="D172">
        <v>12</v>
      </c>
      <c r="E172" s="14"/>
    </row>
    <row r="173" spans="1:11" ht="16.5" thickTop="1">
      <c r="A173" t="s">
        <v>2089</v>
      </c>
      <c r="B173" s="61" t="s">
        <v>2090</v>
      </c>
      <c r="C173" s="30">
        <v>479475156</v>
      </c>
      <c r="D173">
        <v>12</v>
      </c>
      <c r="E173" s="14"/>
    </row>
    <row r="174" spans="1:11" ht="15.75">
      <c r="A174" t="s">
        <v>2091</v>
      </c>
      <c r="B174" s="61" t="s">
        <v>2092</v>
      </c>
      <c r="C174" s="30">
        <v>671915509</v>
      </c>
      <c r="D174">
        <v>12</v>
      </c>
      <c r="E174" s="14"/>
    </row>
    <row r="175" spans="1:11" ht="31.5">
      <c r="A175" t="s">
        <v>2116</v>
      </c>
      <c r="B175" s="61" t="s">
        <v>2115</v>
      </c>
      <c r="C175" s="11">
        <v>769550266</v>
      </c>
      <c r="D175">
        <v>12</v>
      </c>
      <c r="E175" s="14"/>
    </row>
    <row r="176" spans="1:11" ht="15.75">
      <c r="A176" t="s">
        <v>2243</v>
      </c>
      <c r="B176" s="61" t="s">
        <v>2242</v>
      </c>
      <c r="C176" s="11"/>
      <c r="D176">
        <v>12</v>
      </c>
      <c r="E176" s="14"/>
    </row>
  </sheetData>
  <phoneticPr fontId="6" type="noConversion"/>
  <conditionalFormatting sqref="B2:B132 B134:B136 D2:D176">
    <cfRule type="duplicateValues" dxfId="35" priority="30"/>
  </conditionalFormatting>
  <conditionalFormatting sqref="C165">
    <cfRule type="duplicateValues" dxfId="34" priority="3"/>
  </conditionalFormatting>
  <conditionalFormatting sqref="D1:E1">
    <cfRule type="duplicateValues" dxfId="33" priority="4"/>
    <cfRule type="duplicateValues" dxfId="32" priority="5"/>
  </conditionalFormatting>
  <conditionalFormatting sqref="D177:E1048576 C1:C136">
    <cfRule type="duplicateValues" dxfId="31" priority="6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495868-356A-4E45-907E-11736D616066}">
          <x14:formula1>
            <xm:f>PNR_Mtble!$A:$A</xm:f>
          </x14:formula1>
          <xm:sqref>E2:E176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D4F0-6338-44E7-91BB-68FC07FADE55}">
  <sheetPr>
    <tabColor theme="8" tint="0.59999389629810485"/>
  </sheetPr>
  <dimension ref="A1:I51"/>
  <sheetViews>
    <sheetView topLeftCell="B40" zoomScaleNormal="100" workbookViewId="0">
      <selection activeCell="B51" sqref="B51"/>
    </sheetView>
  </sheetViews>
  <sheetFormatPr defaultRowHeight="15"/>
  <cols>
    <col min="1" max="1" width="12.7109375" bestFit="1" customWidth="1"/>
    <col min="2" max="2" width="31" style="40" bestFit="1" customWidth="1"/>
    <col min="3" max="3" width="16" bestFit="1" customWidth="1"/>
    <col min="4" max="4" width="10.7109375" customWidth="1"/>
    <col min="5" max="5" width="36" customWidth="1"/>
    <col min="6" max="6" width="15.7109375" customWidth="1"/>
    <col min="7" max="7" width="34" customWidth="1"/>
    <col min="8" max="8" width="23.140625" customWidth="1"/>
  </cols>
  <sheetData>
    <row r="1" spans="1:8" ht="59.45" customHeight="1">
      <c r="A1" s="8" t="s">
        <v>1156</v>
      </c>
      <c r="B1" s="8" t="s">
        <v>1044</v>
      </c>
      <c r="C1" s="8" t="s">
        <v>1045</v>
      </c>
      <c r="D1" s="8" t="s">
        <v>353</v>
      </c>
      <c r="E1" s="8" t="s">
        <v>959</v>
      </c>
      <c r="F1" s="8" t="s">
        <v>960</v>
      </c>
      <c r="G1" s="8" t="s">
        <v>788</v>
      </c>
      <c r="H1" s="8" t="s">
        <v>961</v>
      </c>
    </row>
    <row r="2" spans="1:8" ht="60">
      <c r="A2" s="17" t="s">
        <v>477</v>
      </c>
      <c r="B2" s="41" t="s">
        <v>965</v>
      </c>
      <c r="C2" s="14">
        <v>200011898</v>
      </c>
      <c r="D2">
        <v>10</v>
      </c>
      <c r="E2" s="12" t="s">
        <v>962</v>
      </c>
      <c r="F2" s="15" t="s">
        <v>963</v>
      </c>
      <c r="G2" s="16" t="s">
        <v>964</v>
      </c>
      <c r="H2" s="13"/>
    </row>
    <row r="3" spans="1:8">
      <c r="A3" s="17" t="s">
        <v>466</v>
      </c>
      <c r="B3" s="41" t="s">
        <v>469</v>
      </c>
      <c r="C3" s="14" t="s">
        <v>2085</v>
      </c>
      <c r="D3">
        <v>10</v>
      </c>
      <c r="E3" s="12"/>
      <c r="F3" s="15"/>
      <c r="G3" s="16"/>
      <c r="H3" s="13"/>
    </row>
    <row r="4" spans="1:8" ht="45">
      <c r="A4" s="17" t="s">
        <v>525</v>
      </c>
      <c r="B4" s="41" t="s">
        <v>527</v>
      </c>
      <c r="C4" s="14">
        <v>200143573</v>
      </c>
      <c r="D4">
        <v>10</v>
      </c>
      <c r="E4" s="12"/>
      <c r="F4" s="15" t="s">
        <v>966</v>
      </c>
      <c r="G4" s="16" t="s">
        <v>967</v>
      </c>
      <c r="H4" s="13"/>
    </row>
    <row r="5" spans="1:8">
      <c r="A5" s="44" t="s">
        <v>471</v>
      </c>
      <c r="B5" s="41" t="s">
        <v>473</v>
      </c>
      <c r="C5" s="14">
        <v>200190423</v>
      </c>
      <c r="D5" s="14">
        <v>10</v>
      </c>
      <c r="E5" s="44" t="s">
        <v>968</v>
      </c>
      <c r="F5" s="44" t="s">
        <v>969</v>
      </c>
      <c r="G5" s="44" t="s">
        <v>970</v>
      </c>
      <c r="H5" s="14" t="s">
        <v>971</v>
      </c>
    </row>
    <row r="6" spans="1:8">
      <c r="A6" s="17" t="s">
        <v>516</v>
      </c>
      <c r="B6" s="41" t="s">
        <v>518</v>
      </c>
      <c r="C6" s="14"/>
      <c r="D6">
        <v>10</v>
      </c>
      <c r="E6" s="12" t="s">
        <v>972</v>
      </c>
      <c r="F6" s="15"/>
      <c r="G6" s="16"/>
      <c r="H6" s="13" t="s">
        <v>972</v>
      </c>
    </row>
    <row r="7" spans="1:8" ht="45">
      <c r="A7" s="17" t="s">
        <v>474</v>
      </c>
      <c r="B7" s="41" t="s">
        <v>476</v>
      </c>
      <c r="C7" s="14"/>
      <c r="D7">
        <v>10</v>
      </c>
      <c r="E7" s="12" t="s">
        <v>973</v>
      </c>
      <c r="F7" s="15" t="s">
        <v>974</v>
      </c>
      <c r="G7" s="16" t="s">
        <v>975</v>
      </c>
      <c r="H7" s="13" t="s">
        <v>976</v>
      </c>
    </row>
    <row r="8" spans="1:8">
      <c r="A8" s="17" t="s">
        <v>1036</v>
      </c>
      <c r="B8" s="41" t="s">
        <v>515</v>
      </c>
      <c r="C8" s="14"/>
      <c r="D8">
        <v>10</v>
      </c>
      <c r="E8" s="12"/>
      <c r="F8" s="15"/>
      <c r="G8" s="16"/>
      <c r="H8" s="13"/>
    </row>
    <row r="9" spans="1:8" ht="30">
      <c r="A9" s="17" t="s">
        <v>521</v>
      </c>
      <c r="B9" s="41" t="s">
        <v>523</v>
      </c>
      <c r="C9" s="14"/>
      <c r="D9">
        <v>10</v>
      </c>
      <c r="E9" s="12" t="s">
        <v>977</v>
      </c>
      <c r="F9" s="15"/>
      <c r="G9" s="16"/>
      <c r="H9" s="13"/>
    </row>
    <row r="10" spans="1:8">
      <c r="A10" s="17" t="s">
        <v>528</v>
      </c>
      <c r="B10" s="41" t="s">
        <v>530</v>
      </c>
      <c r="C10" s="14"/>
      <c r="D10">
        <v>10</v>
      </c>
      <c r="E10" s="12" t="s">
        <v>978</v>
      </c>
      <c r="F10" s="15"/>
      <c r="G10" s="16"/>
      <c r="H10" s="13"/>
    </row>
    <row r="11" spans="1:8">
      <c r="A11" s="17" t="s">
        <v>1037</v>
      </c>
      <c r="B11" s="41" t="s">
        <v>979</v>
      </c>
      <c r="C11" s="14"/>
      <c r="D11">
        <v>10</v>
      </c>
      <c r="E11" s="12"/>
      <c r="F11" s="15"/>
      <c r="G11" s="16"/>
      <c r="H11" s="13"/>
    </row>
    <row r="12" spans="1:8" ht="30">
      <c r="A12" s="17" t="s">
        <v>1038</v>
      </c>
      <c r="B12" s="41" t="s">
        <v>910</v>
      </c>
      <c r="C12" s="14"/>
      <c r="D12">
        <v>10</v>
      </c>
      <c r="E12" s="12"/>
      <c r="F12" s="15"/>
      <c r="G12" s="16"/>
      <c r="H12" s="13"/>
    </row>
    <row r="13" spans="1:8">
      <c r="A13" s="17" t="s">
        <v>1039</v>
      </c>
      <c r="B13" s="41" t="s">
        <v>980</v>
      </c>
      <c r="C13" s="14"/>
      <c r="D13">
        <v>10</v>
      </c>
      <c r="E13" s="12"/>
      <c r="F13" s="15"/>
      <c r="G13" s="16"/>
      <c r="H13" s="13"/>
    </row>
    <row r="14" spans="1:8" ht="60">
      <c r="A14" s="17" t="s">
        <v>535</v>
      </c>
      <c r="B14" s="41" t="s">
        <v>537</v>
      </c>
      <c r="C14" s="14"/>
      <c r="D14">
        <v>10</v>
      </c>
      <c r="E14" s="12" t="s">
        <v>981</v>
      </c>
      <c r="F14" s="15"/>
      <c r="G14" s="16" t="s">
        <v>982</v>
      </c>
      <c r="H14" s="13"/>
    </row>
    <row r="15" spans="1:8" ht="60">
      <c r="A15" s="17" t="s">
        <v>545</v>
      </c>
      <c r="B15" s="41" t="s">
        <v>546</v>
      </c>
      <c r="C15" s="14"/>
      <c r="D15">
        <v>10</v>
      </c>
      <c r="E15" s="12" t="s">
        <v>983</v>
      </c>
      <c r="F15" s="15" t="s">
        <v>984</v>
      </c>
      <c r="G15" s="16" t="s">
        <v>985</v>
      </c>
      <c r="H15" s="13" t="s">
        <v>986</v>
      </c>
    </row>
    <row r="16" spans="1:8" ht="46.5">
      <c r="A16" s="17" t="s">
        <v>542</v>
      </c>
      <c r="B16" s="41" t="s">
        <v>544</v>
      </c>
      <c r="C16" s="14"/>
      <c r="D16">
        <v>10</v>
      </c>
      <c r="E16" s="12" t="s">
        <v>987</v>
      </c>
      <c r="F16" s="15" t="s">
        <v>1043</v>
      </c>
      <c r="G16" s="16" t="s">
        <v>988</v>
      </c>
      <c r="H16" s="13" t="s">
        <v>989</v>
      </c>
    </row>
    <row r="17" spans="1:8" ht="45">
      <c r="A17" s="17" t="s">
        <v>539</v>
      </c>
      <c r="B17" s="41" t="s">
        <v>541</v>
      </c>
      <c r="C17" s="14"/>
      <c r="D17">
        <v>10</v>
      </c>
      <c r="E17" s="12" t="s">
        <v>990</v>
      </c>
      <c r="F17" s="15" t="s">
        <v>991</v>
      </c>
      <c r="G17" s="16"/>
      <c r="H17" s="13"/>
    </row>
    <row r="18" spans="1:8" ht="45">
      <c r="A18" s="17" t="s">
        <v>547</v>
      </c>
      <c r="B18" s="41" t="s">
        <v>549</v>
      </c>
      <c r="C18" s="14"/>
      <c r="D18">
        <v>10</v>
      </c>
      <c r="E18" s="12" t="s">
        <v>992</v>
      </c>
      <c r="F18" s="15" t="s">
        <v>993</v>
      </c>
      <c r="G18" s="16" t="s">
        <v>994</v>
      </c>
      <c r="H18" s="13" t="s">
        <v>995</v>
      </c>
    </row>
    <row r="19" spans="1:8" ht="45">
      <c r="A19" s="17" t="s">
        <v>550</v>
      </c>
      <c r="B19" s="41" t="s">
        <v>552</v>
      </c>
      <c r="C19" s="14"/>
      <c r="D19">
        <v>10</v>
      </c>
      <c r="E19" s="12" t="s">
        <v>996</v>
      </c>
      <c r="F19" s="15" t="s">
        <v>997</v>
      </c>
      <c r="G19" s="16" t="s">
        <v>998</v>
      </c>
      <c r="H19" s="13" t="s">
        <v>999</v>
      </c>
    </row>
    <row r="20" spans="1:8" ht="60">
      <c r="A20" s="17" t="s">
        <v>553</v>
      </c>
      <c r="B20" s="41" t="s">
        <v>555</v>
      </c>
      <c r="C20" s="14"/>
      <c r="D20">
        <v>10</v>
      </c>
      <c r="E20" s="12" t="s">
        <v>1000</v>
      </c>
      <c r="F20" s="15" t="s">
        <v>1001</v>
      </c>
      <c r="G20" s="16" t="s">
        <v>1002</v>
      </c>
      <c r="H20" s="13" t="s">
        <v>1003</v>
      </c>
    </row>
    <row r="21" spans="1:8" ht="45">
      <c r="A21" s="17" t="s">
        <v>556</v>
      </c>
      <c r="B21" s="41" t="s">
        <v>558</v>
      </c>
      <c r="C21" s="14"/>
      <c r="D21">
        <v>10</v>
      </c>
      <c r="E21" s="12" t="s">
        <v>1004</v>
      </c>
      <c r="F21" s="15" t="s">
        <v>1005</v>
      </c>
      <c r="G21" s="16" t="s">
        <v>1006</v>
      </c>
      <c r="H21" s="13" t="s">
        <v>1007</v>
      </c>
    </row>
    <row r="22" spans="1:8" ht="30">
      <c r="A22" s="17" t="s">
        <v>559</v>
      </c>
      <c r="B22" s="41" t="s">
        <v>560</v>
      </c>
      <c r="C22" s="14"/>
      <c r="D22">
        <v>10</v>
      </c>
      <c r="E22" s="12" t="s">
        <v>1008</v>
      </c>
      <c r="F22" s="15" t="s">
        <v>1009</v>
      </c>
      <c r="G22" s="16" t="s">
        <v>1010</v>
      </c>
      <c r="H22" s="13" t="s">
        <v>1011</v>
      </c>
    </row>
    <row r="23" spans="1:8">
      <c r="A23" s="17" t="s">
        <v>561</v>
      </c>
      <c r="B23" s="41" t="s">
        <v>562</v>
      </c>
      <c r="C23" s="14"/>
      <c r="D23">
        <v>10</v>
      </c>
      <c r="E23" s="12"/>
      <c r="F23" s="15"/>
      <c r="G23" s="16"/>
      <c r="H23" s="13"/>
    </row>
    <row r="24" spans="1:8" ht="25.5">
      <c r="A24" s="17" t="s">
        <v>563</v>
      </c>
      <c r="B24" s="41" t="s">
        <v>564</v>
      </c>
      <c r="C24" s="14"/>
      <c r="D24">
        <v>10</v>
      </c>
      <c r="E24" s="12" t="s">
        <v>1012</v>
      </c>
      <c r="F24" s="15" t="s">
        <v>1013</v>
      </c>
      <c r="G24" s="16" t="s">
        <v>1014</v>
      </c>
      <c r="H24" s="13" t="s">
        <v>1015</v>
      </c>
    </row>
    <row r="25" spans="1:8" ht="45">
      <c r="A25" s="17" t="s">
        <v>566</v>
      </c>
      <c r="B25" s="41" t="s">
        <v>568</v>
      </c>
      <c r="C25" s="14"/>
      <c r="D25">
        <v>10</v>
      </c>
      <c r="E25" s="12" t="s">
        <v>1016</v>
      </c>
      <c r="F25" s="15"/>
      <c r="G25" s="16" t="s">
        <v>1017</v>
      </c>
      <c r="H25" s="13" t="s">
        <v>1018</v>
      </c>
    </row>
    <row r="26" spans="1:8" ht="45">
      <c r="A26" s="17" t="s">
        <v>569</v>
      </c>
      <c r="B26" s="41" t="s">
        <v>570</v>
      </c>
      <c r="C26" s="14"/>
      <c r="D26">
        <v>10</v>
      </c>
      <c r="E26" s="12" t="s">
        <v>1019</v>
      </c>
      <c r="F26" s="15" t="s">
        <v>1020</v>
      </c>
      <c r="G26" s="16" t="s">
        <v>1021</v>
      </c>
      <c r="H26" s="13" t="s">
        <v>1022</v>
      </c>
    </row>
    <row r="27" spans="1:8" ht="38.25">
      <c r="A27" s="17" t="s">
        <v>571</v>
      </c>
      <c r="B27" s="41" t="s">
        <v>1042</v>
      </c>
      <c r="C27" s="14"/>
      <c r="D27">
        <v>10</v>
      </c>
      <c r="E27" s="12" t="s">
        <v>1023</v>
      </c>
      <c r="F27" s="15" t="s">
        <v>1024</v>
      </c>
      <c r="G27" s="16" t="s">
        <v>1025</v>
      </c>
      <c r="H27" s="13" t="s">
        <v>1026</v>
      </c>
    </row>
    <row r="28" spans="1:8" ht="60">
      <c r="A28" s="17" t="s">
        <v>519</v>
      </c>
      <c r="B28" s="41" t="s">
        <v>520</v>
      </c>
      <c r="C28" s="14"/>
      <c r="D28">
        <v>10</v>
      </c>
      <c r="E28" s="12" t="s">
        <v>1027</v>
      </c>
      <c r="F28" s="15" t="s">
        <v>1028</v>
      </c>
      <c r="G28" s="16" t="s">
        <v>1029</v>
      </c>
      <c r="H28" s="13" t="s">
        <v>1030</v>
      </c>
    </row>
    <row r="29" spans="1:8" ht="30">
      <c r="A29" s="17" t="s">
        <v>577</v>
      </c>
      <c r="B29" s="41" t="s">
        <v>579</v>
      </c>
      <c r="C29" s="14"/>
      <c r="D29">
        <v>10</v>
      </c>
      <c r="E29" s="12" t="s">
        <v>1031</v>
      </c>
      <c r="F29" s="15" t="s">
        <v>1032</v>
      </c>
      <c r="G29" s="16" t="s">
        <v>1033</v>
      </c>
      <c r="H29" s="13"/>
    </row>
    <row r="30" spans="1:8">
      <c r="A30" s="44" t="s">
        <v>583</v>
      </c>
      <c r="B30" s="41" t="s">
        <v>585</v>
      </c>
      <c r="C30" s="14">
        <v>616359772</v>
      </c>
      <c r="D30" s="14">
        <v>10</v>
      </c>
      <c r="E30" s="44" t="s">
        <v>1034</v>
      </c>
      <c r="F30" s="44"/>
      <c r="G30" s="44" t="s">
        <v>1035</v>
      </c>
      <c r="H30" s="14"/>
    </row>
    <row r="31" spans="1:8" ht="45">
      <c r="A31" s="17" t="s">
        <v>1679</v>
      </c>
      <c r="B31" s="41" t="s">
        <v>1687</v>
      </c>
      <c r="C31" s="14">
        <v>215864379</v>
      </c>
      <c r="D31">
        <v>10</v>
      </c>
      <c r="E31" s="12" t="s">
        <v>1034</v>
      </c>
      <c r="F31" s="15"/>
      <c r="G31" s="16" t="s">
        <v>1035</v>
      </c>
      <c r="H31" s="13"/>
    </row>
    <row r="32" spans="1:8">
      <c r="A32" s="17" t="s">
        <v>590</v>
      </c>
      <c r="B32" s="41" t="s">
        <v>593</v>
      </c>
      <c r="C32" s="14">
        <v>340441933</v>
      </c>
      <c r="D32">
        <v>10</v>
      </c>
      <c r="E32" s="12"/>
      <c r="F32" s="15"/>
      <c r="G32" s="16"/>
      <c r="H32" s="13"/>
    </row>
    <row r="33" spans="1:9">
      <c r="A33" s="17" t="s">
        <v>607</v>
      </c>
      <c r="B33" s="41" t="s">
        <v>600</v>
      </c>
      <c r="C33" s="14">
        <v>699058155</v>
      </c>
      <c r="D33">
        <v>10</v>
      </c>
      <c r="E33" s="12"/>
      <c r="F33" s="15"/>
      <c r="G33" s="16"/>
      <c r="H33" s="13"/>
    </row>
    <row r="34" spans="1:9">
      <c r="A34" s="17" t="s">
        <v>612</v>
      </c>
      <c r="B34" s="41" t="s">
        <v>614</v>
      </c>
      <c r="C34" s="17">
        <v>158</v>
      </c>
      <c r="D34">
        <v>10</v>
      </c>
      <c r="E34" t="s">
        <v>1856</v>
      </c>
      <c r="F34" t="s">
        <v>1857</v>
      </c>
      <c r="G34" t="s">
        <v>1858</v>
      </c>
      <c r="H34" s="13"/>
    </row>
    <row r="35" spans="1:9">
      <c r="A35" s="17" t="s">
        <v>622</v>
      </c>
      <c r="B35" s="41" t="s">
        <v>624</v>
      </c>
      <c r="C35" s="14">
        <v>200203495</v>
      </c>
      <c r="D35">
        <v>10</v>
      </c>
      <c r="E35" s="12"/>
      <c r="F35" s="15"/>
      <c r="G35" s="16"/>
      <c r="H35" s="13"/>
    </row>
    <row r="36" spans="1:9">
      <c r="A36" s="44" t="s">
        <v>637</v>
      </c>
      <c r="B36" s="41" t="s">
        <v>639</v>
      </c>
      <c r="C36" s="14"/>
      <c r="D36">
        <v>10</v>
      </c>
      <c r="E36" s="44"/>
      <c r="F36" s="44"/>
      <c r="G36" s="44"/>
      <c r="H36" s="14"/>
    </row>
    <row r="37" spans="1:9">
      <c r="A37" s="17" t="s">
        <v>648</v>
      </c>
      <c r="B37" s="41" t="s">
        <v>1745</v>
      </c>
      <c r="C37" s="14"/>
      <c r="D37">
        <v>10</v>
      </c>
      <c r="E37" s="12"/>
      <c r="F37" s="15"/>
      <c r="G37" s="16"/>
      <c r="H37" s="13"/>
    </row>
    <row r="38" spans="1:9" ht="30">
      <c r="A38" s="17" t="s">
        <v>643</v>
      </c>
      <c r="B38" s="41" t="s">
        <v>645</v>
      </c>
      <c r="C38" s="14">
        <v>200122886</v>
      </c>
      <c r="D38">
        <v>10</v>
      </c>
      <c r="E38" s="12"/>
      <c r="F38" s="15"/>
      <c r="G38" s="16"/>
      <c r="H38" s="13"/>
    </row>
    <row r="39" spans="1:9">
      <c r="A39" s="17" t="s">
        <v>653</v>
      </c>
      <c r="B39" s="41" t="s">
        <v>655</v>
      </c>
      <c r="C39" s="14"/>
      <c r="D39">
        <v>10</v>
      </c>
      <c r="E39" s="12"/>
      <c r="F39" s="15"/>
      <c r="G39" s="16"/>
      <c r="H39" s="13"/>
    </row>
    <row r="40" spans="1:9">
      <c r="A40" s="17" t="s">
        <v>1433</v>
      </c>
      <c r="B40" s="41" t="s">
        <v>682</v>
      </c>
      <c r="C40" s="14"/>
      <c r="D40">
        <v>10</v>
      </c>
      <c r="E40" s="45"/>
      <c r="F40" s="46"/>
      <c r="G40" s="47"/>
      <c r="H40" s="13"/>
    </row>
    <row r="41" spans="1:9" ht="30">
      <c r="A41" s="13" t="s">
        <v>671</v>
      </c>
      <c r="B41" s="41" t="s">
        <v>1040</v>
      </c>
      <c r="C41" s="14">
        <v>728382857</v>
      </c>
      <c r="D41">
        <v>10</v>
      </c>
      <c r="E41" s="45"/>
      <c r="F41" s="81" t="s">
        <v>2257</v>
      </c>
      <c r="G41" t="s">
        <v>2051</v>
      </c>
      <c r="H41" s="13"/>
    </row>
    <row r="42" spans="1:9">
      <c r="A42" s="13" t="s">
        <v>1451</v>
      </c>
      <c r="B42" s="41" t="s">
        <v>1452</v>
      </c>
      <c r="C42">
        <v>200016059</v>
      </c>
      <c r="D42" s="14">
        <v>10</v>
      </c>
      <c r="E42" s="14"/>
      <c r="F42" s="14"/>
      <c r="G42" s="14"/>
      <c r="H42" s="14"/>
    </row>
    <row r="43" spans="1:9">
      <c r="A43" s="14" t="s">
        <v>1724</v>
      </c>
      <c r="B43" s="41" t="s">
        <v>1611</v>
      </c>
      <c r="C43" s="14">
        <v>618874704</v>
      </c>
      <c r="D43" s="14">
        <v>10</v>
      </c>
      <c r="E43" s="14" t="s">
        <v>1612</v>
      </c>
      <c r="F43" s="14"/>
      <c r="G43" s="14"/>
      <c r="H43" s="14"/>
      <c r="I43" s="28"/>
    </row>
    <row r="44" spans="1:9" ht="15.75">
      <c r="A44" s="14" t="s">
        <v>1617</v>
      </c>
      <c r="B44" s="42" t="s">
        <v>1618</v>
      </c>
      <c r="C44" s="14"/>
      <c r="D44" s="14">
        <v>10</v>
      </c>
      <c r="E44" s="14"/>
      <c r="F44" s="14"/>
      <c r="G44" s="14"/>
      <c r="H44" s="14"/>
    </row>
    <row r="45" spans="1:9" ht="30">
      <c r="A45" s="14" t="s">
        <v>1619</v>
      </c>
      <c r="B45" s="42" t="s">
        <v>1622</v>
      </c>
      <c r="C45" s="14">
        <v>25730151</v>
      </c>
      <c r="D45" s="14">
        <v>10</v>
      </c>
      <c r="E45" s="14" t="s">
        <v>1859</v>
      </c>
      <c r="F45" s="14" t="s">
        <v>1623</v>
      </c>
      <c r="G45" s="55" t="s">
        <v>1860</v>
      </c>
      <c r="H45" s="14"/>
    </row>
    <row r="46" spans="1:9" ht="40.5">
      <c r="A46" s="14" t="s">
        <v>1620</v>
      </c>
      <c r="B46" s="43" t="s">
        <v>1627</v>
      </c>
      <c r="C46" s="53" t="s">
        <v>2225</v>
      </c>
      <c r="D46" s="14">
        <v>10</v>
      </c>
      <c r="E46" s="29" t="s">
        <v>1626</v>
      </c>
      <c r="F46" s="51" t="s">
        <v>1625</v>
      </c>
      <c r="G46" s="28" t="s">
        <v>1624</v>
      </c>
      <c r="H46" s="28"/>
    </row>
    <row r="47" spans="1:9" ht="45">
      <c r="A47" s="14" t="s">
        <v>1621</v>
      </c>
      <c r="B47" t="s">
        <v>1849</v>
      </c>
      <c r="C47" s="14">
        <v>208</v>
      </c>
      <c r="D47" s="14">
        <v>10</v>
      </c>
      <c r="E47" s="7" t="s">
        <v>1845</v>
      </c>
      <c r="F47" t="s">
        <v>1847</v>
      </c>
      <c r="G47" t="s">
        <v>1846</v>
      </c>
      <c r="H47" s="14"/>
    </row>
    <row r="48" spans="1:9" ht="30">
      <c r="A48" s="14" t="s">
        <v>1710</v>
      </c>
      <c r="B48" s="41" t="s">
        <v>1711</v>
      </c>
      <c r="C48" s="14"/>
      <c r="D48" s="14">
        <v>10</v>
      </c>
      <c r="E48" s="14" t="s">
        <v>1713</v>
      </c>
      <c r="F48" s="14">
        <v>6598505038</v>
      </c>
      <c r="G48" s="52" t="s">
        <v>1712</v>
      </c>
      <c r="H48" s="14"/>
    </row>
    <row r="49" spans="1:8">
      <c r="A49" s="14" t="s">
        <v>1807</v>
      </c>
      <c r="B49" s="40" t="s">
        <v>1808</v>
      </c>
      <c r="C49">
        <v>367287692</v>
      </c>
      <c r="D49" s="14">
        <v>10</v>
      </c>
      <c r="E49" s="14"/>
      <c r="F49" s="14"/>
      <c r="G49" s="14"/>
      <c r="H49" s="14"/>
    </row>
    <row r="50" spans="1:8" ht="30">
      <c r="A50" s="14" t="s">
        <v>1850</v>
      </c>
      <c r="B50" s="41" t="s">
        <v>1851</v>
      </c>
      <c r="C50" s="14">
        <v>211</v>
      </c>
      <c r="D50" s="14">
        <v>10</v>
      </c>
      <c r="E50" s="14" t="s">
        <v>1853</v>
      </c>
      <c r="F50" s="53" t="s">
        <v>1852</v>
      </c>
      <c r="G50" s="14" t="s">
        <v>1854</v>
      </c>
      <c r="H50" s="54" t="s">
        <v>1855</v>
      </c>
    </row>
    <row r="51" spans="1:8">
      <c r="A51" s="14"/>
      <c r="B51" s="41"/>
      <c r="C51" s="14"/>
      <c r="D51" s="14"/>
      <c r="E51" s="14"/>
      <c r="F51" s="14"/>
      <c r="G51" s="14"/>
      <c r="H51" s="14"/>
    </row>
  </sheetData>
  <phoneticPr fontId="6" type="noConversion"/>
  <conditionalFormatting sqref="A1 C1:H1">
    <cfRule type="duplicateValues" dxfId="30" priority="32"/>
  </conditionalFormatting>
  <conditionalFormatting sqref="D1:H1">
    <cfRule type="duplicateValues" dxfId="29" priority="35"/>
  </conditionalFormatting>
  <hyperlinks>
    <hyperlink ref="H6" r:id="rId1" display="mailto:Ehab13@msn.com" xr:uid="{2FAE2E2F-C2F8-44F4-B373-AD5B599C7E28}"/>
    <hyperlink ref="H7" r:id="rId2" display="mailto:weronika@recon-intl.com" xr:uid="{CB527F93-F147-47CC-AB03-FF87E83F4EED}"/>
    <hyperlink ref="G14" r:id="rId3" display="katerina.cerna@iqstructures.cz; ‎" xr:uid="{DF4A0C09-9AAD-411A-9612-673DECDEDCFD}"/>
    <hyperlink ref="H26" r:id="rId4" display="mailto:mehdi.benmebarek@ingroupe.com" xr:uid="{D5E18C86-A941-490E-8537-05361C57929A}"/>
    <hyperlink ref="H27" r:id="rId5" xr:uid="{02F892B1-BA56-4C2A-831B-45789255B57B}"/>
    <hyperlink ref="H28" r:id="rId6" xr:uid="{7D03E281-9FDF-4529-A73A-61FDD7391A25}"/>
    <hyperlink ref="E6" r:id="rId7" xr:uid="{AAD05F5B-C395-4A49-9492-CF7C6316414E}"/>
    <hyperlink ref="F4" r:id="rId8" display="mailto:v-lelhadidy@microsoft.com" xr:uid="{5D42BAE9-0C25-41BD-8559-F9570C6DC6A0}"/>
    <hyperlink ref="H24" r:id="rId9" display="mailto:c.lafont@fcof.com" xr:uid="{0BEE0DB6-75B1-4016-A314-9144883472C1}"/>
    <hyperlink ref="E24" r:id="rId10" tooltip="blocked::http://www.oberthur.com_x000d__x000a_blocked::blocked::http://www.oberthur.com_x000d__x000a_http://www.oberthur.com_x000d__x000a_file:///\\www.oberthurusa.com" display="http://www.oberthur-fiduciaire.com/" xr:uid="{C69CF6E0-E256-4320-9F2B-B4790FA7083A}"/>
    <hyperlink ref="H22" r:id="rId11" tooltip="Click to send email to Torniainen Meri" display="mailto:meri.torniainen@orellfuessli.com" xr:uid="{DC33ACB0-0C2B-47F4-9412-BD4CAE075567}"/>
    <hyperlink ref="H18" r:id="rId12" display="mailto:erin.jones@metamaterial.com" xr:uid="{26A8F3EC-B3F6-4E97-A626-B140D68AA72A}"/>
    <hyperlink ref="H16" r:id="rId13" display="mailto:maria.atkinson@uk.delarue.com" xr:uid="{3EC00DC5-B4E8-4BC0-AE61-7D690888D656}"/>
    <hyperlink ref="H15" r:id="rId14" display="mailto:michaela.reichert@gi-de.com" xr:uid="{F8D7C2EF-EA68-42EC-B34B-2D83D3220312}"/>
    <hyperlink ref="H50" r:id="rId15" xr:uid="{C5627884-44DB-4A29-86DB-2A5014B12342}"/>
  </hyperlinks>
  <pageMargins left="0.7" right="0.7" top="0.75" bottom="0.75" header="0.3" footer="0.3"/>
  <pageSetup orientation="portrait" r:id="rId16"/>
  <tableParts count="1">
    <tablePart r:id="rId1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55F7-7D40-4FA2-8AE5-0DB2AE2D8AD3}">
  <sheetPr>
    <tabColor theme="8" tint="0.59999389629810485"/>
  </sheetPr>
  <dimension ref="A1:E132"/>
  <sheetViews>
    <sheetView workbookViewId="0">
      <selection activeCell="D5" sqref="D5"/>
    </sheetView>
  </sheetViews>
  <sheetFormatPr defaultRowHeight="15"/>
  <cols>
    <col min="1" max="1" width="20.7109375" customWidth="1"/>
    <col min="2" max="2" width="38.140625" bestFit="1" customWidth="1"/>
    <col min="3" max="3" width="8.28515625" bestFit="1" customWidth="1"/>
    <col min="4" max="4" width="23.85546875" bestFit="1" customWidth="1"/>
    <col min="5" max="5" width="22.140625" bestFit="1" customWidth="1"/>
  </cols>
  <sheetData>
    <row r="1" spans="1:5">
      <c r="A1" t="s">
        <v>955</v>
      </c>
      <c r="B1" t="s">
        <v>956</v>
      </c>
      <c r="C1" t="s">
        <v>353</v>
      </c>
      <c r="D1" t="s">
        <v>1564</v>
      </c>
      <c r="E1" t="s">
        <v>785</v>
      </c>
    </row>
    <row r="2" spans="1:5">
      <c r="A2" t="s">
        <v>2256</v>
      </c>
      <c r="B2" t="s">
        <v>1426</v>
      </c>
      <c r="C2">
        <v>4</v>
      </c>
      <c r="D2" s="14" t="s">
        <v>1542</v>
      </c>
    </row>
    <row r="3" spans="1:5">
      <c r="A3" t="s">
        <v>1429</v>
      </c>
      <c r="B3" t="s">
        <v>1429</v>
      </c>
      <c r="C3">
        <v>5</v>
      </c>
      <c r="D3" s="14" t="s">
        <v>1542</v>
      </c>
    </row>
    <row r="4" spans="1:5">
      <c r="A4" t="s">
        <v>1427</v>
      </c>
      <c r="B4" t="s">
        <v>1427</v>
      </c>
      <c r="C4">
        <v>6</v>
      </c>
      <c r="D4" s="14" t="s">
        <v>1542</v>
      </c>
    </row>
    <row r="5" spans="1:5">
      <c r="A5" t="s">
        <v>1428</v>
      </c>
      <c r="B5" t="s">
        <v>1428</v>
      </c>
      <c r="C5">
        <v>7</v>
      </c>
      <c r="D5" s="14" t="s">
        <v>1542</v>
      </c>
    </row>
    <row r="6" spans="1:5">
      <c r="A6" t="s">
        <v>1449</v>
      </c>
      <c r="B6" t="s">
        <v>1449</v>
      </c>
      <c r="C6">
        <v>8</v>
      </c>
      <c r="D6" s="14" t="s">
        <v>1542</v>
      </c>
    </row>
    <row r="7" spans="1:5">
      <c r="A7" t="s">
        <v>1447</v>
      </c>
      <c r="B7" t="s">
        <v>1447</v>
      </c>
      <c r="C7">
        <v>39</v>
      </c>
      <c r="D7" s="14" t="s">
        <v>1542</v>
      </c>
    </row>
    <row r="8" spans="1:5">
      <c r="A8" t="s">
        <v>1430</v>
      </c>
      <c r="B8" t="s">
        <v>1430</v>
      </c>
      <c r="C8">
        <v>17</v>
      </c>
      <c r="D8" s="14" t="s">
        <v>1544</v>
      </c>
    </row>
    <row r="9" spans="1:5">
      <c r="A9" t="s">
        <v>1431</v>
      </c>
      <c r="B9" t="s">
        <v>1431</v>
      </c>
      <c r="C9">
        <v>17</v>
      </c>
      <c r="D9" s="14" t="s">
        <v>1544</v>
      </c>
    </row>
    <row r="10" spans="1:5">
      <c r="A10" t="s">
        <v>1453</v>
      </c>
      <c r="B10" t="s">
        <v>936</v>
      </c>
      <c r="C10">
        <v>17</v>
      </c>
      <c r="D10" s="14" t="s">
        <v>1544</v>
      </c>
      <c r="E10" t="s">
        <v>937</v>
      </c>
    </row>
    <row r="11" spans="1:5">
      <c r="A11" t="s">
        <v>1454</v>
      </c>
      <c r="B11" t="s">
        <v>938</v>
      </c>
      <c r="C11">
        <v>17</v>
      </c>
      <c r="D11" s="14" t="s">
        <v>1544</v>
      </c>
      <c r="E11" t="s">
        <v>937</v>
      </c>
    </row>
    <row r="12" spans="1:5">
      <c r="A12" t="s">
        <v>1455</v>
      </c>
      <c r="B12" t="s">
        <v>939</v>
      </c>
      <c r="C12">
        <v>17</v>
      </c>
      <c r="D12" s="14" t="s">
        <v>1544</v>
      </c>
      <c r="E12" t="s">
        <v>937</v>
      </c>
    </row>
    <row r="13" spans="1:5">
      <c r="A13" t="s">
        <v>1456</v>
      </c>
      <c r="B13" t="s">
        <v>940</v>
      </c>
      <c r="C13">
        <v>17</v>
      </c>
      <c r="D13" s="14" t="s">
        <v>1544</v>
      </c>
      <c r="E13" t="s">
        <v>937</v>
      </c>
    </row>
    <row r="14" spans="1:5">
      <c r="A14" t="s">
        <v>1457</v>
      </c>
      <c r="B14" t="s">
        <v>941</v>
      </c>
      <c r="C14">
        <v>17</v>
      </c>
      <c r="D14" s="14" t="s">
        <v>1544</v>
      </c>
      <c r="E14" t="s">
        <v>937</v>
      </c>
    </row>
    <row r="15" spans="1:5">
      <c r="A15" t="s">
        <v>1458</v>
      </c>
      <c r="B15" t="s">
        <v>942</v>
      </c>
      <c r="C15">
        <v>17</v>
      </c>
      <c r="D15" s="14" t="s">
        <v>1544</v>
      </c>
      <c r="E15" t="s">
        <v>937</v>
      </c>
    </row>
    <row r="16" spans="1:5">
      <c r="A16" t="s">
        <v>1459</v>
      </c>
      <c r="B16" t="s">
        <v>1079</v>
      </c>
      <c r="C16">
        <v>17</v>
      </c>
      <c r="D16" s="14" t="s">
        <v>1544</v>
      </c>
      <c r="E16" t="s">
        <v>937</v>
      </c>
    </row>
    <row r="17" spans="1:5">
      <c r="A17" t="s">
        <v>1460</v>
      </c>
      <c r="B17" t="s">
        <v>1080</v>
      </c>
      <c r="C17">
        <v>17</v>
      </c>
      <c r="D17" s="14" t="s">
        <v>1544</v>
      </c>
      <c r="E17" t="s">
        <v>937</v>
      </c>
    </row>
    <row r="18" spans="1:5">
      <c r="A18" t="s">
        <v>1461</v>
      </c>
      <c r="B18" t="s">
        <v>1081</v>
      </c>
      <c r="C18">
        <v>17</v>
      </c>
      <c r="D18" s="14" t="s">
        <v>1544</v>
      </c>
      <c r="E18" t="s">
        <v>937</v>
      </c>
    </row>
    <row r="19" spans="1:5">
      <c r="A19" t="s">
        <v>1462</v>
      </c>
      <c r="B19" t="s">
        <v>1082</v>
      </c>
      <c r="C19">
        <v>17</v>
      </c>
      <c r="D19" s="14" t="s">
        <v>1544</v>
      </c>
      <c r="E19" t="s">
        <v>937</v>
      </c>
    </row>
    <row r="20" spans="1:5">
      <c r="A20" t="s">
        <v>1463</v>
      </c>
      <c r="B20" t="s">
        <v>1083</v>
      </c>
      <c r="C20">
        <v>17</v>
      </c>
      <c r="D20" s="14" t="s">
        <v>1544</v>
      </c>
      <c r="E20" t="s">
        <v>937</v>
      </c>
    </row>
    <row r="21" spans="1:5">
      <c r="A21" t="s">
        <v>1464</v>
      </c>
      <c r="B21" t="s">
        <v>1084</v>
      </c>
      <c r="C21">
        <v>17</v>
      </c>
      <c r="D21" s="14" t="s">
        <v>1544</v>
      </c>
      <c r="E21" t="s">
        <v>937</v>
      </c>
    </row>
    <row r="22" spans="1:5">
      <c r="A22" t="s">
        <v>1465</v>
      </c>
      <c r="B22" t="s">
        <v>1085</v>
      </c>
      <c r="C22">
        <v>17</v>
      </c>
      <c r="D22" s="14" t="s">
        <v>1544</v>
      </c>
      <c r="E22" t="s">
        <v>937</v>
      </c>
    </row>
    <row r="23" spans="1:5">
      <c r="A23" t="s">
        <v>1466</v>
      </c>
      <c r="B23" t="s">
        <v>1086</v>
      </c>
      <c r="C23">
        <v>17</v>
      </c>
      <c r="D23" s="14" t="s">
        <v>1544</v>
      </c>
      <c r="E23" t="s">
        <v>937</v>
      </c>
    </row>
    <row r="24" spans="1:5">
      <c r="A24" t="s">
        <v>1467</v>
      </c>
      <c r="B24" t="s">
        <v>1087</v>
      </c>
      <c r="C24">
        <v>17</v>
      </c>
      <c r="D24" s="14" t="s">
        <v>1544</v>
      </c>
      <c r="E24" t="s">
        <v>937</v>
      </c>
    </row>
    <row r="25" spans="1:5">
      <c r="A25" t="s">
        <v>1468</v>
      </c>
      <c r="B25" t="s">
        <v>1088</v>
      </c>
      <c r="C25">
        <v>17</v>
      </c>
      <c r="D25" s="14" t="s">
        <v>1544</v>
      </c>
      <c r="E25" t="s">
        <v>937</v>
      </c>
    </row>
    <row r="26" spans="1:5">
      <c r="A26" t="s">
        <v>1469</v>
      </c>
      <c r="B26" t="s">
        <v>1089</v>
      </c>
      <c r="C26">
        <v>17</v>
      </c>
      <c r="D26" s="14" t="s">
        <v>1544</v>
      </c>
      <c r="E26" t="s">
        <v>937</v>
      </c>
    </row>
    <row r="27" spans="1:5">
      <c r="A27" t="s">
        <v>1470</v>
      </c>
      <c r="B27" t="s">
        <v>1090</v>
      </c>
      <c r="C27">
        <v>17</v>
      </c>
      <c r="D27" s="14" t="s">
        <v>1544</v>
      </c>
      <c r="E27" t="s">
        <v>937</v>
      </c>
    </row>
    <row r="28" spans="1:5">
      <c r="A28" t="s">
        <v>1471</v>
      </c>
      <c r="B28" t="s">
        <v>1091</v>
      </c>
      <c r="C28">
        <v>17</v>
      </c>
      <c r="D28" s="14" t="s">
        <v>1544</v>
      </c>
      <c r="E28" t="s">
        <v>937</v>
      </c>
    </row>
    <row r="29" spans="1:5">
      <c r="A29" t="s">
        <v>1472</v>
      </c>
      <c r="B29" t="s">
        <v>1092</v>
      </c>
      <c r="C29">
        <v>17</v>
      </c>
      <c r="D29" s="14" t="s">
        <v>1544</v>
      </c>
      <c r="E29" t="s">
        <v>937</v>
      </c>
    </row>
    <row r="30" spans="1:5">
      <c r="A30" t="s">
        <v>1473</v>
      </c>
      <c r="B30" t="s">
        <v>1093</v>
      </c>
      <c r="C30">
        <v>17</v>
      </c>
      <c r="D30" s="14" t="s">
        <v>1544</v>
      </c>
      <c r="E30" t="s">
        <v>937</v>
      </c>
    </row>
    <row r="31" spans="1:5">
      <c r="A31" t="s">
        <v>1474</v>
      </c>
      <c r="B31" t="s">
        <v>1094</v>
      </c>
      <c r="C31">
        <v>17</v>
      </c>
      <c r="D31" s="14" t="s">
        <v>1544</v>
      </c>
      <c r="E31" t="s">
        <v>937</v>
      </c>
    </row>
    <row r="32" spans="1:5">
      <c r="A32" t="s">
        <v>1475</v>
      </c>
      <c r="B32" s="18" t="s">
        <v>1095</v>
      </c>
      <c r="C32">
        <v>17</v>
      </c>
      <c r="D32" s="14" t="s">
        <v>1544</v>
      </c>
      <c r="E32" t="s">
        <v>937</v>
      </c>
    </row>
    <row r="33" spans="1:5">
      <c r="A33" t="s">
        <v>1476</v>
      </c>
      <c r="B33" t="s">
        <v>1096</v>
      </c>
      <c r="C33">
        <v>17</v>
      </c>
      <c r="D33" s="14" t="s">
        <v>1544</v>
      </c>
      <c r="E33" t="s">
        <v>937</v>
      </c>
    </row>
    <row r="34" spans="1:5">
      <c r="A34" t="s">
        <v>1477</v>
      </c>
      <c r="B34" t="s">
        <v>1097</v>
      </c>
      <c r="C34">
        <v>17</v>
      </c>
      <c r="D34" s="14" t="s">
        <v>1544</v>
      </c>
      <c r="E34" t="s">
        <v>937</v>
      </c>
    </row>
    <row r="35" spans="1:5">
      <c r="A35" t="s">
        <v>1478</v>
      </c>
      <c r="B35" s="18" t="s">
        <v>1098</v>
      </c>
      <c r="C35">
        <v>17</v>
      </c>
      <c r="D35" s="14" t="s">
        <v>1544</v>
      </c>
      <c r="E35" t="s">
        <v>937</v>
      </c>
    </row>
    <row r="36" spans="1:5">
      <c r="A36" t="s">
        <v>1479</v>
      </c>
      <c r="B36" t="s">
        <v>1099</v>
      </c>
      <c r="C36">
        <v>17</v>
      </c>
      <c r="D36" s="14" t="s">
        <v>1544</v>
      </c>
      <c r="E36" t="s">
        <v>937</v>
      </c>
    </row>
    <row r="37" spans="1:5">
      <c r="A37" t="s">
        <v>1480</v>
      </c>
      <c r="B37" t="s">
        <v>1100</v>
      </c>
      <c r="C37">
        <v>17</v>
      </c>
      <c r="D37" s="14" t="s">
        <v>1544</v>
      </c>
      <c r="E37" t="s">
        <v>937</v>
      </c>
    </row>
    <row r="38" spans="1:5">
      <c r="A38" t="s">
        <v>1481</v>
      </c>
      <c r="B38" t="s">
        <v>1048</v>
      </c>
      <c r="C38">
        <v>17</v>
      </c>
      <c r="D38" s="14" t="s">
        <v>1544</v>
      </c>
      <c r="E38" t="s">
        <v>937</v>
      </c>
    </row>
    <row r="39" spans="1:5">
      <c r="A39" t="s">
        <v>1482</v>
      </c>
      <c r="B39" t="s">
        <v>1049</v>
      </c>
      <c r="C39">
        <v>17</v>
      </c>
      <c r="D39" s="14" t="s">
        <v>1544</v>
      </c>
      <c r="E39" t="s">
        <v>937</v>
      </c>
    </row>
    <row r="40" spans="1:5">
      <c r="A40" t="s">
        <v>1483</v>
      </c>
      <c r="B40" t="s">
        <v>1050</v>
      </c>
      <c r="C40">
        <v>17</v>
      </c>
      <c r="D40" s="14" t="s">
        <v>1544</v>
      </c>
      <c r="E40" t="s">
        <v>937</v>
      </c>
    </row>
    <row r="41" spans="1:5">
      <c r="A41" t="s">
        <v>1484</v>
      </c>
      <c r="B41" t="s">
        <v>1051</v>
      </c>
      <c r="C41">
        <v>17</v>
      </c>
      <c r="D41" s="14" t="s">
        <v>1544</v>
      </c>
      <c r="E41" t="s">
        <v>937</v>
      </c>
    </row>
    <row r="42" spans="1:5">
      <c r="A42" t="s">
        <v>1485</v>
      </c>
      <c r="B42" t="s">
        <v>1052</v>
      </c>
      <c r="C42">
        <v>17</v>
      </c>
      <c r="D42" s="14" t="s">
        <v>1544</v>
      </c>
      <c r="E42" t="s">
        <v>937</v>
      </c>
    </row>
    <row r="43" spans="1:5">
      <c r="A43" t="s">
        <v>1486</v>
      </c>
      <c r="B43" t="s">
        <v>1053</v>
      </c>
      <c r="C43">
        <v>17</v>
      </c>
      <c r="D43" s="14" t="s">
        <v>1544</v>
      </c>
      <c r="E43" t="s">
        <v>937</v>
      </c>
    </row>
    <row r="44" spans="1:5">
      <c r="A44" t="s">
        <v>1487</v>
      </c>
      <c r="B44" t="s">
        <v>1054</v>
      </c>
      <c r="C44">
        <v>17</v>
      </c>
      <c r="D44" s="14" t="s">
        <v>1544</v>
      </c>
      <c r="E44" t="s">
        <v>937</v>
      </c>
    </row>
    <row r="45" spans="1:5">
      <c r="A45" t="s">
        <v>1488</v>
      </c>
      <c r="B45" t="s">
        <v>1055</v>
      </c>
      <c r="C45">
        <v>17</v>
      </c>
      <c r="D45" s="14" t="s">
        <v>1544</v>
      </c>
      <c r="E45" t="s">
        <v>937</v>
      </c>
    </row>
    <row r="46" spans="1:5">
      <c r="A46" t="s">
        <v>1489</v>
      </c>
      <c r="B46" t="s">
        <v>1056</v>
      </c>
      <c r="C46">
        <v>17</v>
      </c>
      <c r="D46" s="14" t="s">
        <v>1544</v>
      </c>
      <c r="E46" t="s">
        <v>937</v>
      </c>
    </row>
    <row r="47" spans="1:5">
      <c r="A47" t="s">
        <v>1490</v>
      </c>
      <c r="B47" t="s">
        <v>1057</v>
      </c>
      <c r="C47">
        <v>17</v>
      </c>
      <c r="D47" s="14" t="s">
        <v>1544</v>
      </c>
      <c r="E47" t="s">
        <v>937</v>
      </c>
    </row>
    <row r="48" spans="1:5">
      <c r="A48" t="s">
        <v>1491</v>
      </c>
      <c r="B48" t="s">
        <v>1058</v>
      </c>
      <c r="C48">
        <v>17</v>
      </c>
      <c r="D48" s="14" t="s">
        <v>1544</v>
      </c>
      <c r="E48" t="s">
        <v>937</v>
      </c>
    </row>
    <row r="49" spans="1:5">
      <c r="A49" t="s">
        <v>1492</v>
      </c>
      <c r="B49" t="s">
        <v>1059</v>
      </c>
      <c r="C49">
        <v>17</v>
      </c>
      <c r="D49" s="14" t="s">
        <v>1544</v>
      </c>
      <c r="E49" t="s">
        <v>937</v>
      </c>
    </row>
    <row r="50" spans="1:5">
      <c r="A50" t="s">
        <v>1493</v>
      </c>
      <c r="B50" t="s">
        <v>1060</v>
      </c>
      <c r="C50">
        <v>17</v>
      </c>
      <c r="D50" s="14" t="s">
        <v>1544</v>
      </c>
      <c r="E50" t="s">
        <v>937</v>
      </c>
    </row>
    <row r="51" spans="1:5">
      <c r="A51" t="s">
        <v>1494</v>
      </c>
      <c r="B51" t="s">
        <v>1101</v>
      </c>
      <c r="C51">
        <v>17</v>
      </c>
      <c r="D51" s="14" t="s">
        <v>1544</v>
      </c>
      <c r="E51" t="s">
        <v>937</v>
      </c>
    </row>
    <row r="52" spans="1:5">
      <c r="A52" t="s">
        <v>1495</v>
      </c>
      <c r="B52" t="s">
        <v>1102</v>
      </c>
      <c r="C52">
        <v>17</v>
      </c>
      <c r="D52" s="14" t="s">
        <v>1544</v>
      </c>
      <c r="E52" t="s">
        <v>937</v>
      </c>
    </row>
    <row r="53" spans="1:5">
      <c r="A53" t="s">
        <v>1496</v>
      </c>
      <c r="B53" t="s">
        <v>1103</v>
      </c>
      <c r="C53">
        <v>17</v>
      </c>
      <c r="D53" s="14" t="s">
        <v>1544</v>
      </c>
      <c r="E53" t="s">
        <v>937</v>
      </c>
    </row>
    <row r="54" spans="1:5">
      <c r="A54" t="s">
        <v>1497</v>
      </c>
      <c r="B54" t="s">
        <v>1104</v>
      </c>
      <c r="C54">
        <v>17</v>
      </c>
      <c r="D54" s="14" t="s">
        <v>1544</v>
      </c>
      <c r="E54" t="s">
        <v>937</v>
      </c>
    </row>
    <row r="55" spans="1:5">
      <c r="A55" t="s">
        <v>1498</v>
      </c>
      <c r="B55" t="s">
        <v>1061</v>
      </c>
      <c r="C55">
        <v>17</v>
      </c>
      <c r="D55" s="14" t="s">
        <v>1544</v>
      </c>
      <c r="E55" t="s">
        <v>937</v>
      </c>
    </row>
    <row r="56" spans="1:5">
      <c r="A56" t="s">
        <v>1499</v>
      </c>
      <c r="B56" t="s">
        <v>1062</v>
      </c>
      <c r="C56">
        <v>17</v>
      </c>
      <c r="D56" s="14" t="s">
        <v>1544</v>
      </c>
      <c r="E56" t="s">
        <v>937</v>
      </c>
    </row>
    <row r="57" spans="1:5">
      <c r="A57" t="s">
        <v>1500</v>
      </c>
      <c r="B57" t="s">
        <v>1105</v>
      </c>
      <c r="C57">
        <v>17</v>
      </c>
      <c r="D57" s="14" t="s">
        <v>1544</v>
      </c>
      <c r="E57" t="s">
        <v>937</v>
      </c>
    </row>
    <row r="58" spans="1:5">
      <c r="A58" t="s">
        <v>1501</v>
      </c>
      <c r="B58" t="s">
        <v>1106</v>
      </c>
      <c r="C58">
        <v>17</v>
      </c>
      <c r="D58" s="14" t="s">
        <v>1544</v>
      </c>
      <c r="E58" t="s">
        <v>937</v>
      </c>
    </row>
    <row r="59" spans="1:5">
      <c r="A59" t="s">
        <v>1502</v>
      </c>
      <c r="B59" t="s">
        <v>1063</v>
      </c>
      <c r="C59">
        <v>17</v>
      </c>
      <c r="D59" s="14" t="s">
        <v>1544</v>
      </c>
      <c r="E59" t="s">
        <v>937</v>
      </c>
    </row>
    <row r="60" spans="1:5">
      <c r="A60" t="s">
        <v>1503</v>
      </c>
      <c r="B60" t="s">
        <v>1064</v>
      </c>
      <c r="C60">
        <v>17</v>
      </c>
      <c r="D60" s="14" t="s">
        <v>1544</v>
      </c>
      <c r="E60" t="s">
        <v>937</v>
      </c>
    </row>
    <row r="61" spans="1:5">
      <c r="A61" t="s">
        <v>1504</v>
      </c>
      <c r="B61" t="s">
        <v>1065</v>
      </c>
      <c r="C61">
        <v>17</v>
      </c>
      <c r="D61" s="14" t="s">
        <v>1544</v>
      </c>
      <c r="E61" t="s">
        <v>937</v>
      </c>
    </row>
    <row r="62" spans="1:5">
      <c r="A62" t="s">
        <v>1505</v>
      </c>
      <c r="B62" t="s">
        <v>1066</v>
      </c>
      <c r="C62">
        <v>17</v>
      </c>
      <c r="D62" s="14" t="s">
        <v>1544</v>
      </c>
      <c r="E62" t="s">
        <v>937</v>
      </c>
    </row>
    <row r="63" spans="1:5">
      <c r="A63" t="s">
        <v>1506</v>
      </c>
      <c r="B63" t="s">
        <v>1067</v>
      </c>
      <c r="C63">
        <v>17</v>
      </c>
      <c r="D63" s="14" t="s">
        <v>1544</v>
      </c>
      <c r="E63" t="s">
        <v>937</v>
      </c>
    </row>
    <row r="64" spans="1:5">
      <c r="A64" t="s">
        <v>1507</v>
      </c>
      <c r="B64" t="s">
        <v>1068</v>
      </c>
      <c r="C64">
        <v>17</v>
      </c>
      <c r="D64" s="14" t="s">
        <v>1544</v>
      </c>
      <c r="E64" t="s">
        <v>937</v>
      </c>
    </row>
    <row r="65" spans="1:5">
      <c r="A65" t="s">
        <v>1508</v>
      </c>
      <c r="B65" t="s">
        <v>1107</v>
      </c>
      <c r="C65">
        <v>17</v>
      </c>
      <c r="D65" s="14" t="s">
        <v>1544</v>
      </c>
      <c r="E65" t="s">
        <v>937</v>
      </c>
    </row>
    <row r="66" spans="1:5">
      <c r="A66" t="s">
        <v>1509</v>
      </c>
      <c r="B66" t="s">
        <v>1108</v>
      </c>
      <c r="C66">
        <v>17</v>
      </c>
      <c r="D66" s="14" t="s">
        <v>1544</v>
      </c>
      <c r="E66" t="s">
        <v>937</v>
      </c>
    </row>
    <row r="67" spans="1:5">
      <c r="A67" t="s">
        <v>1510</v>
      </c>
      <c r="B67" s="18" t="s">
        <v>1109</v>
      </c>
      <c r="C67">
        <v>17</v>
      </c>
      <c r="D67" s="14" t="s">
        <v>1544</v>
      </c>
      <c r="E67" t="s">
        <v>937</v>
      </c>
    </row>
    <row r="68" spans="1:5">
      <c r="A68" t="s">
        <v>1511</v>
      </c>
      <c r="B68" t="s">
        <v>1110</v>
      </c>
      <c r="C68">
        <v>17</v>
      </c>
      <c r="D68" s="14" t="s">
        <v>1544</v>
      </c>
      <c r="E68" t="s">
        <v>937</v>
      </c>
    </row>
    <row r="69" spans="1:5">
      <c r="A69" t="s">
        <v>1512</v>
      </c>
      <c r="B69" t="s">
        <v>1069</v>
      </c>
      <c r="C69">
        <v>17</v>
      </c>
      <c r="D69" s="14" t="s">
        <v>1544</v>
      </c>
      <c r="E69" t="s">
        <v>937</v>
      </c>
    </row>
    <row r="70" spans="1:5">
      <c r="A70" t="s">
        <v>1513</v>
      </c>
      <c r="B70" t="s">
        <v>1111</v>
      </c>
      <c r="C70">
        <v>17</v>
      </c>
      <c r="D70" s="14" t="s">
        <v>1544</v>
      </c>
      <c r="E70" t="s">
        <v>937</v>
      </c>
    </row>
    <row r="71" spans="1:5">
      <c r="A71" t="s">
        <v>1514</v>
      </c>
      <c r="B71" t="s">
        <v>1112</v>
      </c>
      <c r="C71">
        <v>17</v>
      </c>
      <c r="D71" s="14" t="s">
        <v>1544</v>
      </c>
      <c r="E71" t="s">
        <v>937</v>
      </c>
    </row>
    <row r="72" spans="1:5">
      <c r="A72" t="s">
        <v>1515</v>
      </c>
      <c r="B72" t="s">
        <v>1113</v>
      </c>
      <c r="C72">
        <v>17</v>
      </c>
      <c r="D72" s="14" t="s">
        <v>1544</v>
      </c>
      <c r="E72" t="s">
        <v>937</v>
      </c>
    </row>
    <row r="73" spans="1:5">
      <c r="A73" t="s">
        <v>1516</v>
      </c>
      <c r="B73" t="s">
        <v>1114</v>
      </c>
      <c r="C73">
        <v>17</v>
      </c>
      <c r="D73" s="14" t="s">
        <v>1544</v>
      </c>
      <c r="E73" t="s">
        <v>937</v>
      </c>
    </row>
    <row r="74" spans="1:5">
      <c r="A74" t="s">
        <v>1517</v>
      </c>
      <c r="B74" t="s">
        <v>1115</v>
      </c>
      <c r="C74">
        <v>17</v>
      </c>
      <c r="D74" s="14" t="s">
        <v>1544</v>
      </c>
      <c r="E74" t="s">
        <v>937</v>
      </c>
    </row>
    <row r="75" spans="1:5">
      <c r="A75" t="s">
        <v>1518</v>
      </c>
      <c r="B75" t="s">
        <v>1116</v>
      </c>
      <c r="C75">
        <v>17</v>
      </c>
      <c r="D75" s="14" t="s">
        <v>1544</v>
      </c>
      <c r="E75" t="s">
        <v>937</v>
      </c>
    </row>
    <row r="76" spans="1:5">
      <c r="A76" t="s">
        <v>1519</v>
      </c>
      <c r="B76" t="s">
        <v>1117</v>
      </c>
      <c r="C76">
        <v>17</v>
      </c>
      <c r="D76" s="14" t="s">
        <v>1544</v>
      </c>
      <c r="E76" t="s">
        <v>937</v>
      </c>
    </row>
    <row r="77" spans="1:5">
      <c r="A77" t="s">
        <v>1520</v>
      </c>
      <c r="B77" t="s">
        <v>1118</v>
      </c>
      <c r="C77">
        <v>17</v>
      </c>
      <c r="D77" s="14" t="s">
        <v>1544</v>
      </c>
      <c r="E77" t="s">
        <v>937</v>
      </c>
    </row>
    <row r="78" spans="1:5">
      <c r="A78" t="s">
        <v>1521</v>
      </c>
      <c r="B78" t="s">
        <v>1119</v>
      </c>
      <c r="C78">
        <v>17</v>
      </c>
      <c r="D78" s="14" t="s">
        <v>1544</v>
      </c>
      <c r="E78" t="s">
        <v>937</v>
      </c>
    </row>
    <row r="79" spans="1:5">
      <c r="A79" t="s">
        <v>1522</v>
      </c>
      <c r="B79" t="s">
        <v>1120</v>
      </c>
      <c r="C79">
        <v>17</v>
      </c>
      <c r="D79" s="14" t="s">
        <v>1544</v>
      </c>
      <c r="E79" t="s">
        <v>937</v>
      </c>
    </row>
    <row r="80" spans="1:5">
      <c r="A80" t="s">
        <v>1523</v>
      </c>
      <c r="B80" t="s">
        <v>1121</v>
      </c>
      <c r="C80">
        <v>17</v>
      </c>
      <c r="D80" s="14" t="s">
        <v>1544</v>
      </c>
      <c r="E80" t="s">
        <v>937</v>
      </c>
    </row>
    <row r="81" spans="1:5">
      <c r="A81" t="s">
        <v>1524</v>
      </c>
      <c r="B81" t="s">
        <v>1122</v>
      </c>
      <c r="C81">
        <v>17</v>
      </c>
      <c r="D81" s="14" t="s">
        <v>1544</v>
      </c>
      <c r="E81" t="s">
        <v>937</v>
      </c>
    </row>
    <row r="82" spans="1:5">
      <c r="A82" t="s">
        <v>1525</v>
      </c>
      <c r="B82" t="s">
        <v>1123</v>
      </c>
      <c r="C82">
        <v>17</v>
      </c>
      <c r="D82" s="14" t="s">
        <v>1544</v>
      </c>
      <c r="E82" t="s">
        <v>937</v>
      </c>
    </row>
    <row r="83" spans="1:5">
      <c r="A83" t="s">
        <v>1526</v>
      </c>
      <c r="B83" t="s">
        <v>1124</v>
      </c>
      <c r="C83">
        <v>17</v>
      </c>
      <c r="D83" s="14" t="s">
        <v>1544</v>
      </c>
      <c r="E83" t="s">
        <v>937</v>
      </c>
    </row>
    <row r="84" spans="1:5">
      <c r="A84" t="s">
        <v>1527</v>
      </c>
      <c r="B84" t="s">
        <v>1125</v>
      </c>
      <c r="C84">
        <v>17</v>
      </c>
      <c r="D84" s="14" t="s">
        <v>1544</v>
      </c>
      <c r="E84" t="s">
        <v>937</v>
      </c>
    </row>
    <row r="85" spans="1:5">
      <c r="A85" t="s">
        <v>1528</v>
      </c>
      <c r="B85" t="s">
        <v>1126</v>
      </c>
      <c r="C85">
        <v>17</v>
      </c>
      <c r="D85" s="14" t="s">
        <v>1544</v>
      </c>
      <c r="E85" t="s">
        <v>937</v>
      </c>
    </row>
    <row r="86" spans="1:5">
      <c r="A86" t="s">
        <v>1529</v>
      </c>
      <c r="B86" t="s">
        <v>1127</v>
      </c>
      <c r="C86">
        <v>17</v>
      </c>
      <c r="D86" s="14" t="s">
        <v>1544</v>
      </c>
      <c r="E86" t="s">
        <v>937</v>
      </c>
    </row>
    <row r="87" spans="1:5">
      <c r="A87" t="s">
        <v>1530</v>
      </c>
      <c r="B87" t="s">
        <v>1128</v>
      </c>
      <c r="C87">
        <v>17</v>
      </c>
      <c r="D87" s="14" t="s">
        <v>1544</v>
      </c>
      <c r="E87" t="s">
        <v>937</v>
      </c>
    </row>
    <row r="88" spans="1:5">
      <c r="A88" t="s">
        <v>1531</v>
      </c>
      <c r="B88" t="s">
        <v>1074</v>
      </c>
      <c r="C88">
        <v>17</v>
      </c>
      <c r="D88" s="14" t="s">
        <v>1544</v>
      </c>
      <c r="E88" t="s">
        <v>937</v>
      </c>
    </row>
    <row r="89" spans="1:5">
      <c r="A89" t="s">
        <v>1532</v>
      </c>
      <c r="B89" t="s">
        <v>1129</v>
      </c>
      <c r="C89">
        <v>17</v>
      </c>
      <c r="D89" s="14" t="s">
        <v>1544</v>
      </c>
      <c r="E89" t="s">
        <v>937</v>
      </c>
    </row>
    <row r="90" spans="1:5">
      <c r="A90" t="s">
        <v>1533</v>
      </c>
      <c r="B90" t="s">
        <v>1130</v>
      </c>
      <c r="C90">
        <v>17</v>
      </c>
      <c r="D90" s="14" t="s">
        <v>1544</v>
      </c>
      <c r="E90" t="s">
        <v>937</v>
      </c>
    </row>
    <row r="91" spans="1:5">
      <c r="A91" t="s">
        <v>1534</v>
      </c>
      <c r="B91" t="s">
        <v>1535</v>
      </c>
      <c r="C91">
        <v>17</v>
      </c>
      <c r="D91" s="14" t="s">
        <v>1544</v>
      </c>
      <c r="E91" t="s">
        <v>937</v>
      </c>
    </row>
    <row r="92" spans="1:5" ht="15.75">
      <c r="A92" t="s">
        <v>1549</v>
      </c>
      <c r="B92" s="24" t="s">
        <v>1551</v>
      </c>
      <c r="C92">
        <v>17</v>
      </c>
      <c r="D92" s="14" t="s">
        <v>1544</v>
      </c>
      <c r="E92" t="s">
        <v>937</v>
      </c>
    </row>
    <row r="93" spans="1:5">
      <c r="A93" t="s">
        <v>1550</v>
      </c>
      <c r="B93" t="s">
        <v>1552</v>
      </c>
      <c r="C93">
        <v>17</v>
      </c>
      <c r="D93" s="14" t="s">
        <v>1544</v>
      </c>
      <c r="E93" t="s">
        <v>937</v>
      </c>
    </row>
    <row r="94" spans="1:5">
      <c r="A94" t="s">
        <v>1555</v>
      </c>
      <c r="B94" t="s">
        <v>1554</v>
      </c>
      <c r="C94">
        <v>17</v>
      </c>
      <c r="D94" s="14" t="s">
        <v>1544</v>
      </c>
      <c r="E94" t="s">
        <v>937</v>
      </c>
    </row>
    <row r="95" spans="1:5">
      <c r="A95" t="s">
        <v>1559</v>
      </c>
      <c r="B95" t="s">
        <v>1558</v>
      </c>
      <c r="C95">
        <v>17</v>
      </c>
      <c r="D95" s="14" t="s">
        <v>1544</v>
      </c>
      <c r="E95" t="s">
        <v>937</v>
      </c>
    </row>
    <row r="96" spans="1:5">
      <c r="A96" t="s">
        <v>1561</v>
      </c>
      <c r="B96" t="s">
        <v>1560</v>
      </c>
      <c r="C96">
        <v>17</v>
      </c>
      <c r="D96" s="14" t="s">
        <v>1544</v>
      </c>
      <c r="E96" t="s">
        <v>937</v>
      </c>
    </row>
    <row r="97" spans="1:5">
      <c r="A97" t="s">
        <v>1562</v>
      </c>
      <c r="B97" t="s">
        <v>1563</v>
      </c>
      <c r="C97">
        <v>17</v>
      </c>
      <c r="D97" s="14" t="s">
        <v>1544</v>
      </c>
      <c r="E97" t="s">
        <v>937</v>
      </c>
    </row>
    <row r="98" spans="1:5">
      <c r="A98" t="s">
        <v>1590</v>
      </c>
      <c r="B98" t="s">
        <v>1589</v>
      </c>
      <c r="C98">
        <v>17</v>
      </c>
      <c r="D98" s="14" t="s">
        <v>1544</v>
      </c>
      <c r="E98" t="s">
        <v>937</v>
      </c>
    </row>
    <row r="99" spans="1:5">
      <c r="A99" t="s">
        <v>1592</v>
      </c>
      <c r="B99" t="s">
        <v>1591</v>
      </c>
      <c r="C99">
        <v>17</v>
      </c>
      <c r="D99" s="14" t="s">
        <v>1544</v>
      </c>
      <c r="E99" t="s">
        <v>937</v>
      </c>
    </row>
    <row r="100" spans="1:5">
      <c r="A100" t="s">
        <v>1594</v>
      </c>
      <c r="B100" t="s">
        <v>1593</v>
      </c>
      <c r="C100">
        <v>17</v>
      </c>
      <c r="D100" s="14" t="s">
        <v>1544</v>
      </c>
      <c r="E100" t="s">
        <v>937</v>
      </c>
    </row>
    <row r="101" spans="1:5">
      <c r="A101" t="s">
        <v>1596</v>
      </c>
      <c r="B101" t="s">
        <v>1595</v>
      </c>
      <c r="C101">
        <v>17</v>
      </c>
      <c r="D101" s="14" t="s">
        <v>1544</v>
      </c>
      <c r="E101" t="s">
        <v>937</v>
      </c>
    </row>
    <row r="102" spans="1:5">
      <c r="A102" t="s">
        <v>1598</v>
      </c>
      <c r="B102" t="s">
        <v>1597</v>
      </c>
      <c r="C102">
        <v>17</v>
      </c>
      <c r="D102" s="14" t="s">
        <v>1544</v>
      </c>
      <c r="E102" t="s">
        <v>937</v>
      </c>
    </row>
    <row r="103" spans="1:5">
      <c r="A103" t="s">
        <v>1600</v>
      </c>
      <c r="B103" s="21" t="s">
        <v>1599</v>
      </c>
      <c r="C103">
        <v>17</v>
      </c>
      <c r="D103" s="14" t="s">
        <v>1544</v>
      </c>
      <c r="E103" t="s">
        <v>937</v>
      </c>
    </row>
    <row r="104" spans="1:5">
      <c r="A104" t="s">
        <v>1603</v>
      </c>
      <c r="B104" t="s">
        <v>1604</v>
      </c>
      <c r="C104">
        <v>17</v>
      </c>
      <c r="D104" s="14" t="s">
        <v>1544</v>
      </c>
      <c r="E104" t="s">
        <v>937</v>
      </c>
    </row>
    <row r="105" spans="1:5">
      <c r="A105" t="s">
        <v>1615</v>
      </c>
      <c r="B105" s="21" t="s">
        <v>1616</v>
      </c>
      <c r="C105">
        <v>17</v>
      </c>
      <c r="D105" s="14" t="s">
        <v>1544</v>
      </c>
      <c r="E105" t="s">
        <v>937</v>
      </c>
    </row>
    <row r="106" spans="1:5">
      <c r="A106" t="s">
        <v>1688</v>
      </c>
      <c r="B106" s="21" t="s">
        <v>1689</v>
      </c>
      <c r="C106">
        <v>17</v>
      </c>
      <c r="D106" s="14" t="s">
        <v>1544</v>
      </c>
      <c r="E106" t="s">
        <v>937</v>
      </c>
    </row>
    <row r="107" spans="1:5" ht="15.75">
      <c r="A107" t="s">
        <v>1725</v>
      </c>
      <c r="B107" s="38" t="s">
        <v>1726</v>
      </c>
      <c r="C107">
        <v>17</v>
      </c>
      <c r="D107" s="14" t="s">
        <v>1544</v>
      </c>
      <c r="E107" t="s">
        <v>937</v>
      </c>
    </row>
    <row r="108" spans="1:5" ht="15.75">
      <c r="A108" t="s">
        <v>1734</v>
      </c>
      <c r="B108" s="27" t="s">
        <v>1733</v>
      </c>
      <c r="C108">
        <v>17</v>
      </c>
      <c r="D108" s="14" t="s">
        <v>1544</v>
      </c>
      <c r="E108" t="s">
        <v>937</v>
      </c>
    </row>
    <row r="109" spans="1:5" ht="15.75">
      <c r="A109" t="s">
        <v>1736</v>
      </c>
      <c r="B109" s="27" t="s">
        <v>1735</v>
      </c>
      <c r="C109">
        <v>17</v>
      </c>
      <c r="D109" s="14" t="s">
        <v>1544</v>
      </c>
      <c r="E109" t="s">
        <v>937</v>
      </c>
    </row>
    <row r="110" spans="1:5">
      <c r="A110" t="s">
        <v>1750</v>
      </c>
      <c r="B110" t="s">
        <v>1751</v>
      </c>
      <c r="C110">
        <v>17</v>
      </c>
      <c r="D110" s="14" t="s">
        <v>1544</v>
      </c>
      <c r="E110" t="s">
        <v>937</v>
      </c>
    </row>
    <row r="111" spans="1:5">
      <c r="A111" t="s">
        <v>1766</v>
      </c>
      <c r="B111" t="s">
        <v>1767</v>
      </c>
      <c r="C111">
        <v>17</v>
      </c>
      <c r="D111" s="14" t="s">
        <v>1544</v>
      </c>
      <c r="E111" t="s">
        <v>937</v>
      </c>
    </row>
    <row r="112" spans="1:5">
      <c r="A112" t="s">
        <v>1768</v>
      </c>
      <c r="B112" t="s">
        <v>1769</v>
      </c>
      <c r="C112">
        <v>17</v>
      </c>
      <c r="D112" s="14" t="s">
        <v>1544</v>
      </c>
      <c r="E112" t="s">
        <v>937</v>
      </c>
    </row>
    <row r="113" spans="1:5">
      <c r="A113" t="s">
        <v>1771</v>
      </c>
      <c r="B113" t="s">
        <v>1770</v>
      </c>
      <c r="C113">
        <v>17</v>
      </c>
      <c r="D113" s="14" t="s">
        <v>1544</v>
      </c>
      <c r="E113" t="s">
        <v>937</v>
      </c>
    </row>
    <row r="114" spans="1:5">
      <c r="A114" t="s">
        <v>1773</v>
      </c>
      <c r="B114" t="s">
        <v>1772</v>
      </c>
      <c r="C114">
        <v>17</v>
      </c>
      <c r="D114" s="14" t="s">
        <v>1544</v>
      </c>
      <c r="E114" t="s">
        <v>937</v>
      </c>
    </row>
    <row r="115" spans="1:5" ht="16.5">
      <c r="A115" t="s">
        <v>1791</v>
      </c>
      <c r="B115" s="50" t="s">
        <v>1792</v>
      </c>
      <c r="C115">
        <v>17</v>
      </c>
      <c r="D115" s="14" t="s">
        <v>1544</v>
      </c>
      <c r="E115" t="s">
        <v>937</v>
      </c>
    </row>
    <row r="116" spans="1:5" ht="15.75">
      <c r="A116" t="s">
        <v>1798</v>
      </c>
      <c r="B116" s="27" t="s">
        <v>1800</v>
      </c>
      <c r="C116">
        <v>17</v>
      </c>
      <c r="D116" s="14" t="s">
        <v>1544</v>
      </c>
      <c r="E116" t="s">
        <v>937</v>
      </c>
    </row>
    <row r="117" spans="1:5" ht="15.75">
      <c r="A117" t="s">
        <v>1799</v>
      </c>
      <c r="B117" s="27" t="s">
        <v>1801</v>
      </c>
      <c r="C117">
        <v>17</v>
      </c>
      <c r="D117" s="14" t="s">
        <v>1544</v>
      </c>
      <c r="E117" t="s">
        <v>937</v>
      </c>
    </row>
    <row r="118" spans="1:5" ht="15.75">
      <c r="A118" t="s">
        <v>1803</v>
      </c>
      <c r="B118" s="27" t="s">
        <v>1802</v>
      </c>
      <c r="C118">
        <v>17</v>
      </c>
      <c r="D118" s="14" t="s">
        <v>1544</v>
      </c>
      <c r="E118" t="s">
        <v>937</v>
      </c>
    </row>
    <row r="119" spans="1:5">
      <c r="A119" t="s">
        <v>1819</v>
      </c>
      <c r="B119" t="s">
        <v>1818</v>
      </c>
      <c r="C119">
        <v>17</v>
      </c>
      <c r="D119" s="14" t="s">
        <v>1544</v>
      </c>
      <c r="E119" t="s">
        <v>937</v>
      </c>
    </row>
    <row r="120" spans="1:5">
      <c r="A120" t="s">
        <v>1821</v>
      </c>
      <c r="B120" t="s">
        <v>1820</v>
      </c>
      <c r="C120">
        <v>17</v>
      </c>
      <c r="D120" s="14" t="s">
        <v>1544</v>
      </c>
      <c r="E120" t="s">
        <v>937</v>
      </c>
    </row>
    <row r="121" spans="1:5">
      <c r="A121" t="s">
        <v>1822</v>
      </c>
      <c r="B121" t="s">
        <v>1824</v>
      </c>
      <c r="C121">
        <v>17</v>
      </c>
      <c r="D121" s="14" t="s">
        <v>1544</v>
      </c>
      <c r="E121" t="s">
        <v>937</v>
      </c>
    </row>
    <row r="122" spans="1:5" ht="15.75">
      <c r="A122" t="s">
        <v>1823</v>
      </c>
      <c r="B122" s="27" t="s">
        <v>1826</v>
      </c>
      <c r="C122">
        <v>17</v>
      </c>
      <c r="D122" s="14" t="s">
        <v>1544</v>
      </c>
      <c r="E122" t="s">
        <v>937</v>
      </c>
    </row>
    <row r="123" spans="1:5" ht="15.75">
      <c r="A123" t="s">
        <v>1843</v>
      </c>
      <c r="B123" s="24" t="s">
        <v>1842</v>
      </c>
      <c r="C123">
        <v>17</v>
      </c>
      <c r="D123" s="14" t="s">
        <v>1544</v>
      </c>
      <c r="E123" t="s">
        <v>937</v>
      </c>
    </row>
    <row r="124" spans="1:5">
      <c r="A124" t="s">
        <v>2038</v>
      </c>
      <c r="B124" t="s">
        <v>2037</v>
      </c>
      <c r="C124">
        <v>17</v>
      </c>
      <c r="D124" s="14" t="s">
        <v>1544</v>
      </c>
      <c r="E124" t="s">
        <v>937</v>
      </c>
    </row>
    <row r="125" spans="1:5">
      <c r="A125" t="s">
        <v>2042</v>
      </c>
      <c r="B125" t="s">
        <v>2046</v>
      </c>
      <c r="C125">
        <v>17</v>
      </c>
      <c r="D125" s="14" t="s">
        <v>1544</v>
      </c>
      <c r="E125" t="s">
        <v>937</v>
      </c>
    </row>
    <row r="126" spans="1:5">
      <c r="A126" t="s">
        <v>2043</v>
      </c>
      <c r="B126" t="s">
        <v>2047</v>
      </c>
      <c r="C126">
        <v>17</v>
      </c>
      <c r="D126" s="14" t="s">
        <v>1544</v>
      </c>
      <c r="E126" t="s">
        <v>937</v>
      </c>
    </row>
    <row r="127" spans="1:5">
      <c r="A127" t="s">
        <v>2044</v>
      </c>
      <c r="B127" t="s">
        <v>2048</v>
      </c>
      <c r="C127">
        <v>17</v>
      </c>
      <c r="D127" s="14" t="s">
        <v>1544</v>
      </c>
      <c r="E127" t="s">
        <v>937</v>
      </c>
    </row>
    <row r="128" spans="1:5">
      <c r="A128" t="s">
        <v>2045</v>
      </c>
      <c r="B128" s="21" t="s">
        <v>2074</v>
      </c>
      <c r="C128">
        <v>17</v>
      </c>
      <c r="D128" s="14" t="s">
        <v>1544</v>
      </c>
      <c r="E128" t="s">
        <v>937</v>
      </c>
    </row>
    <row r="129" spans="1:5">
      <c r="A129" t="s">
        <v>2114</v>
      </c>
      <c r="B129" t="s">
        <v>2113</v>
      </c>
      <c r="C129">
        <v>17</v>
      </c>
      <c r="D129" s="14" t="s">
        <v>1544</v>
      </c>
      <c r="E129" t="s">
        <v>937</v>
      </c>
    </row>
    <row r="130" spans="1:5">
      <c r="A130" t="s">
        <v>2118</v>
      </c>
      <c r="B130" s="70" t="s">
        <v>2117</v>
      </c>
      <c r="C130">
        <v>17</v>
      </c>
      <c r="D130" s="14" t="s">
        <v>1544</v>
      </c>
      <c r="E130" t="s">
        <v>937</v>
      </c>
    </row>
    <row r="131" spans="1:5">
      <c r="A131" t="s">
        <v>2240</v>
      </c>
      <c r="B131" s="70" t="s">
        <v>2241</v>
      </c>
      <c r="C131">
        <v>17</v>
      </c>
      <c r="D131" s="14" t="s">
        <v>1544</v>
      </c>
      <c r="E131" t="s">
        <v>937</v>
      </c>
    </row>
    <row r="132" spans="1:5">
      <c r="A132" t="s">
        <v>2244</v>
      </c>
      <c r="B132" s="78" t="s">
        <v>2245</v>
      </c>
      <c r="C132">
        <v>17</v>
      </c>
      <c r="D132" s="14" t="s">
        <v>1544</v>
      </c>
      <c r="E132" t="s">
        <v>937</v>
      </c>
    </row>
  </sheetData>
  <phoneticPr fontId="6" type="noConversion"/>
  <conditionalFormatting sqref="A1:A6 A8:A1048576">
    <cfRule type="duplicateValues" dxfId="28" priority="31"/>
  </conditionalFormatting>
  <conditionalFormatting sqref="B2:B6 B8:B85">
    <cfRule type="duplicateValues" dxfId="27" priority="12"/>
  </conditionalFormatting>
  <conditionalFormatting sqref="C1:D1">
    <cfRule type="duplicateValues" dxfId="26" priority="4"/>
    <cfRule type="duplicateValues" dxfId="25" priority="5"/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BEFE37-C8C7-4E10-96DF-588C4A2B72D7}">
          <x14:formula1>
            <xm:f>PNR_Mtble!$A:$A</xm:f>
          </x14:formula1>
          <xm:sqref>D2:D132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6BF6-D812-4235-8B45-B9824DFE222B}">
  <sheetPr>
    <tabColor theme="8" tint="0.59999389629810485"/>
  </sheetPr>
  <dimension ref="A1:F11"/>
  <sheetViews>
    <sheetView workbookViewId="0">
      <selection activeCell="F11" sqref="F11"/>
    </sheetView>
  </sheetViews>
  <sheetFormatPr defaultRowHeight="15"/>
  <cols>
    <col min="1" max="1" width="13.140625" bestFit="1" customWidth="1"/>
    <col min="2" max="2" width="51.7109375" bestFit="1" customWidth="1"/>
    <col min="3" max="4" width="51.7109375" customWidth="1"/>
    <col min="5" max="5" width="22.140625" bestFit="1" customWidth="1"/>
    <col min="6" max="6" width="23.85546875" bestFit="1" customWidth="1"/>
  </cols>
  <sheetData>
    <row r="1" spans="1:6">
      <c r="A1" t="s">
        <v>1422</v>
      </c>
      <c r="B1" t="s">
        <v>958</v>
      </c>
      <c r="C1" t="s">
        <v>1564</v>
      </c>
      <c r="D1" t="s">
        <v>353</v>
      </c>
      <c r="E1" t="s">
        <v>784</v>
      </c>
      <c r="F1" t="s">
        <v>785</v>
      </c>
    </row>
    <row r="2" spans="1:6">
      <c r="A2" t="s">
        <v>949</v>
      </c>
      <c r="B2" t="s">
        <v>950</v>
      </c>
      <c r="C2" s="14" t="s">
        <v>1565</v>
      </c>
      <c r="D2">
        <v>11</v>
      </c>
      <c r="E2" t="s">
        <v>945</v>
      </c>
      <c r="F2" t="s">
        <v>946</v>
      </c>
    </row>
    <row r="3" spans="1:6">
      <c r="A3" t="s">
        <v>951</v>
      </c>
      <c r="B3" t="s">
        <v>952</v>
      </c>
      <c r="C3" s="14" t="s">
        <v>1565</v>
      </c>
      <c r="D3">
        <v>11</v>
      </c>
      <c r="E3" t="s">
        <v>945</v>
      </c>
      <c r="F3" t="s">
        <v>946</v>
      </c>
    </row>
    <row r="4" spans="1:6">
      <c r="A4" t="s">
        <v>947</v>
      </c>
      <c r="B4" t="s">
        <v>948</v>
      </c>
      <c r="C4" s="14" t="s">
        <v>1565</v>
      </c>
      <c r="D4">
        <v>11</v>
      </c>
      <c r="E4" t="s">
        <v>945</v>
      </c>
      <c r="F4" t="s">
        <v>946</v>
      </c>
    </row>
    <row r="5" spans="1:6">
      <c r="A5" t="s">
        <v>953</v>
      </c>
      <c r="B5" t="s">
        <v>954</v>
      </c>
      <c r="C5" s="14" t="s">
        <v>1565</v>
      </c>
      <c r="D5">
        <v>11</v>
      </c>
      <c r="E5" t="s">
        <v>945</v>
      </c>
      <c r="F5" t="s">
        <v>946</v>
      </c>
    </row>
    <row r="6" spans="1:6">
      <c r="A6" t="s">
        <v>943</v>
      </c>
      <c r="B6" t="s">
        <v>944</v>
      </c>
      <c r="C6" s="14" t="s">
        <v>1570</v>
      </c>
      <c r="D6">
        <v>11</v>
      </c>
      <c r="E6" t="s">
        <v>945</v>
      </c>
      <c r="F6" t="s">
        <v>946</v>
      </c>
    </row>
    <row r="7" spans="1:6">
      <c r="A7" t="s">
        <v>1737</v>
      </c>
      <c r="B7" t="s">
        <v>1739</v>
      </c>
      <c r="C7" s="14" t="s">
        <v>1565</v>
      </c>
      <c r="D7">
        <v>11</v>
      </c>
      <c r="E7" t="s">
        <v>945</v>
      </c>
      <c r="F7" t="s">
        <v>946</v>
      </c>
    </row>
    <row r="8" spans="1:6">
      <c r="A8" t="s">
        <v>1738</v>
      </c>
      <c r="B8" t="s">
        <v>1740</v>
      </c>
      <c r="C8" s="14" t="s">
        <v>1565</v>
      </c>
      <c r="D8">
        <v>11</v>
      </c>
      <c r="E8" t="s">
        <v>945</v>
      </c>
      <c r="F8" t="s">
        <v>946</v>
      </c>
    </row>
    <row r="9" spans="1:6">
      <c r="A9" t="s">
        <v>1741</v>
      </c>
      <c r="B9" t="s">
        <v>1742</v>
      </c>
      <c r="C9" s="14" t="s">
        <v>1565</v>
      </c>
      <c r="D9">
        <v>11</v>
      </c>
      <c r="E9" t="s">
        <v>945</v>
      </c>
      <c r="F9" t="s">
        <v>946</v>
      </c>
    </row>
    <row r="10" spans="1:6">
      <c r="A10" t="s">
        <v>1810</v>
      </c>
      <c r="B10" t="s">
        <v>1811</v>
      </c>
      <c r="C10" s="14" t="s">
        <v>1565</v>
      </c>
      <c r="D10">
        <v>11</v>
      </c>
      <c r="E10" t="s">
        <v>945</v>
      </c>
      <c r="F10" t="s">
        <v>946</v>
      </c>
    </row>
    <row r="11" spans="1:6">
      <c r="A11" t="s">
        <v>2111</v>
      </c>
      <c r="B11" t="s">
        <v>2112</v>
      </c>
      <c r="C11" s="14" t="s">
        <v>1565</v>
      </c>
      <c r="D11">
        <v>11</v>
      </c>
      <c r="E11" t="s">
        <v>945</v>
      </c>
      <c r="F11" t="s">
        <v>946</v>
      </c>
    </row>
  </sheetData>
  <phoneticPr fontId="6" type="noConversion"/>
  <conditionalFormatting sqref="B2:B12 D2:D12">
    <cfRule type="duplicateValues" dxfId="24" priority="11"/>
  </conditionalFormatting>
  <conditionalFormatting sqref="D1">
    <cfRule type="duplicateValues" dxfId="23" priority="1"/>
    <cfRule type="duplicateValues" dxfId="22" priority="2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2386D2-D851-4C4B-82EC-01442EF9A0E5}">
          <x14:formula1>
            <xm:f>PNR_Mtble!$A:$A</xm:f>
          </x14:formula1>
          <xm:sqref>C2:C12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E241-0531-47CB-BEF3-8799F8AC6CCB}">
  <sheetPr>
    <tabColor theme="0"/>
  </sheetPr>
  <dimension ref="A1:H527"/>
  <sheetViews>
    <sheetView tabSelected="1" topLeftCell="A503" workbookViewId="0">
      <selection activeCell="D516" sqref="D516"/>
    </sheetView>
  </sheetViews>
  <sheetFormatPr defaultRowHeight="15"/>
  <cols>
    <col min="1" max="1" width="35.140625" bestFit="1" customWidth="1"/>
    <col min="2" max="2" width="64.85546875" bestFit="1" customWidth="1"/>
    <col min="3" max="3" width="22.42578125" bestFit="1" customWidth="1"/>
    <col min="4" max="4" width="19.5703125" bestFit="1" customWidth="1"/>
    <col min="5" max="5" width="15.28515625" bestFit="1" customWidth="1"/>
    <col min="6" max="6" width="32.42578125" bestFit="1" customWidth="1"/>
    <col min="7" max="7" width="32.7109375" bestFit="1" customWidth="1"/>
    <col min="8" max="8" width="16.28515625" customWidth="1"/>
    <col min="9" max="9" width="51.42578125" bestFit="1" customWidth="1"/>
    <col min="10" max="10" width="32.42578125" bestFit="1" customWidth="1"/>
    <col min="11" max="11" width="31.7109375" bestFit="1" customWidth="1"/>
    <col min="12" max="12" width="15.28515625" customWidth="1"/>
  </cols>
  <sheetData>
    <row r="1" spans="1:6">
      <c r="A1" t="s">
        <v>1415</v>
      </c>
      <c r="B1" t="s">
        <v>1158</v>
      </c>
      <c r="C1" t="s">
        <v>353</v>
      </c>
      <c r="D1" t="s">
        <v>1159</v>
      </c>
      <c r="E1" t="s">
        <v>1160</v>
      </c>
      <c r="F1" t="s">
        <v>1161</v>
      </c>
    </row>
    <row r="2" spans="1:6">
      <c r="A2" t="s">
        <v>1211</v>
      </c>
      <c r="B2" t="s">
        <v>358</v>
      </c>
      <c r="C2">
        <f>VLOOKUP(Inv_Master[[#This Row],[التوجية المحاسبي]],'COA_Mtble'!C:D,2,0)</f>
        <v>1</v>
      </c>
      <c r="D2" t="s">
        <v>1173</v>
      </c>
      <c r="E2" t="s">
        <v>1173</v>
      </c>
      <c r="F2">
        <v>39</v>
      </c>
    </row>
    <row r="3" spans="1:6">
      <c r="A3" t="s">
        <v>665</v>
      </c>
      <c r="B3" t="s">
        <v>392</v>
      </c>
      <c r="C3">
        <f>VLOOKUP(Inv_Master[[#This Row],[التوجية المحاسبي]],'COA_Mtble'!C:D,2,0)</f>
        <v>18</v>
      </c>
      <c r="D3" t="s">
        <v>1292</v>
      </c>
      <c r="E3" t="s">
        <v>1292</v>
      </c>
      <c r="F3">
        <v>105</v>
      </c>
    </row>
    <row r="4" spans="1:6">
      <c r="A4" s="33" t="s">
        <v>1671</v>
      </c>
      <c r="C4" t="e">
        <f>VLOOKUP(Inv_Master[[#This Row],[التوجية المحاسبي]],'COA_Mtble'!C:D,2,0)</f>
        <v>#N/A</v>
      </c>
      <c r="F4">
        <v>115</v>
      </c>
    </row>
    <row r="5" spans="1:6">
      <c r="A5" t="s">
        <v>1692</v>
      </c>
      <c r="C5" t="e">
        <f>VLOOKUP(Inv_Master[[#This Row],[التوجية المحاسبي]],'COA_Mtble'!C:D,2,0)</f>
        <v>#N/A</v>
      </c>
      <c r="F5" t="s">
        <v>1164</v>
      </c>
    </row>
    <row r="6" spans="1:6">
      <c r="A6" t="s">
        <v>1330</v>
      </c>
      <c r="B6" t="s">
        <v>400</v>
      </c>
      <c r="C6">
        <f>VLOOKUP(Inv_Master[[#This Row],[التوجية المحاسبي]],'COA_Mtble'!C:D,2,0)</f>
        <v>22</v>
      </c>
      <c r="D6" t="s">
        <v>1168</v>
      </c>
      <c r="E6" t="s">
        <v>1169</v>
      </c>
      <c r="F6">
        <v>79</v>
      </c>
    </row>
    <row r="7" spans="1:6">
      <c r="A7" t="s">
        <v>1238</v>
      </c>
      <c r="B7" t="s">
        <v>404</v>
      </c>
      <c r="C7">
        <f>VLOOKUP(Inv_Master[[#This Row],[التوجية المحاسبي]],'COA_Mtble'!C:D,2,0)</f>
        <v>24</v>
      </c>
      <c r="D7" t="s">
        <v>1168</v>
      </c>
      <c r="E7" t="s">
        <v>1239</v>
      </c>
      <c r="F7">
        <v>84</v>
      </c>
    </row>
    <row r="8" spans="1:6">
      <c r="A8" t="s">
        <v>1388</v>
      </c>
      <c r="B8" t="s">
        <v>396</v>
      </c>
      <c r="C8">
        <f>VLOOKUP(Inv_Master[[#This Row],[التوجية المحاسبي]],'COA_Mtble'!C:D,2,0)</f>
        <v>20</v>
      </c>
      <c r="D8" t="s">
        <v>1382</v>
      </c>
      <c r="E8" t="s">
        <v>1382</v>
      </c>
      <c r="F8">
        <v>108</v>
      </c>
    </row>
    <row r="9" spans="1:6">
      <c r="A9" t="s">
        <v>1372</v>
      </c>
      <c r="B9" t="s">
        <v>402</v>
      </c>
      <c r="C9">
        <f>VLOOKUP(Inv_Master[[#This Row],[التوجية المحاسبي]],'COA_Mtble'!C:D,2,0)</f>
        <v>23</v>
      </c>
      <c r="D9" t="s">
        <v>1355</v>
      </c>
      <c r="E9" t="s">
        <v>1355</v>
      </c>
      <c r="F9">
        <v>108</v>
      </c>
    </row>
    <row r="10" spans="1:6">
      <c r="A10" t="s">
        <v>1348</v>
      </c>
      <c r="B10" t="s">
        <v>400</v>
      </c>
      <c r="C10">
        <f>VLOOKUP(Inv_Master[[#This Row],[التوجية المحاسبي]],'COA_Mtble'!C:D,2,0)</f>
        <v>22</v>
      </c>
      <c r="D10" t="s">
        <v>1168</v>
      </c>
      <c r="E10" t="s">
        <v>1241</v>
      </c>
      <c r="F10">
        <v>82</v>
      </c>
    </row>
    <row r="11" spans="1:6">
      <c r="A11" t="s">
        <v>1195</v>
      </c>
      <c r="B11" t="s">
        <v>404</v>
      </c>
      <c r="C11">
        <f>VLOOKUP(Inv_Master[[#This Row],[التوجية المحاسبي]],'COA_Mtble'!C:D,2,0)</f>
        <v>24</v>
      </c>
      <c r="D11" t="s">
        <v>1168</v>
      </c>
      <c r="E11" t="s">
        <v>1178</v>
      </c>
      <c r="F11">
        <v>88</v>
      </c>
    </row>
    <row r="12" spans="1:6">
      <c r="A12" t="s">
        <v>596</v>
      </c>
      <c r="B12" t="s">
        <v>392</v>
      </c>
      <c r="C12">
        <f>VLOOKUP(Inv_Master[[#This Row],[التوجية المحاسبي]],'COA_Mtble'!C:D,2,0)</f>
        <v>18</v>
      </c>
      <c r="D12" t="s">
        <v>1168</v>
      </c>
      <c r="E12" t="s">
        <v>1171</v>
      </c>
      <c r="F12">
        <v>76</v>
      </c>
    </row>
    <row r="13" spans="1:6">
      <c r="A13" t="s">
        <v>1577</v>
      </c>
      <c r="B13" t="s">
        <v>406</v>
      </c>
      <c r="C13">
        <f>VLOOKUP(Inv_Master[[#This Row],[التوجية المحاسبي]],'COA_Mtble'!C:D,2,0)</f>
        <v>25</v>
      </c>
      <c r="D13" s="23" t="s">
        <v>1587</v>
      </c>
      <c r="E13" s="23" t="s">
        <v>1587</v>
      </c>
      <c r="F13">
        <v>107</v>
      </c>
    </row>
    <row r="14" spans="1:6">
      <c r="A14" t="s">
        <v>1277</v>
      </c>
      <c r="B14" t="s">
        <v>398</v>
      </c>
      <c r="C14">
        <f>VLOOKUP(Inv_Master[[#This Row],[التوجية المحاسبي]],'COA_Mtble'!C:D,2,0)</f>
        <v>21</v>
      </c>
      <c r="D14" t="s">
        <v>1163</v>
      </c>
      <c r="E14" t="s">
        <v>1163</v>
      </c>
      <c r="F14">
        <v>103</v>
      </c>
    </row>
    <row r="15" spans="1:6">
      <c r="A15" t="s">
        <v>1229</v>
      </c>
      <c r="B15" t="s">
        <v>400</v>
      </c>
      <c r="C15">
        <f>VLOOKUP(Inv_Master[[#This Row],[التوجية المحاسبي]],'COA_Mtble'!C:D,2,0)</f>
        <v>22</v>
      </c>
      <c r="D15" t="s">
        <v>1168</v>
      </c>
      <c r="E15" t="s">
        <v>1169</v>
      </c>
      <c r="F15">
        <v>81</v>
      </c>
    </row>
    <row r="16" spans="1:6">
      <c r="A16" t="s">
        <v>1174</v>
      </c>
      <c r="B16" t="s">
        <v>1175</v>
      </c>
      <c r="C16" t="s">
        <v>1175</v>
      </c>
      <c r="D16" t="s">
        <v>1173</v>
      </c>
      <c r="E16" t="s">
        <v>1173</v>
      </c>
      <c r="F16" t="s">
        <v>1164</v>
      </c>
    </row>
    <row r="17" spans="1:6">
      <c r="A17" t="s">
        <v>1291</v>
      </c>
      <c r="B17" t="s">
        <v>392</v>
      </c>
      <c r="C17">
        <f>VLOOKUP(Inv_Master[[#This Row],[التوجية المحاسبي]],'COA_Mtble'!C:D,2,0)</f>
        <v>18</v>
      </c>
      <c r="D17" t="s">
        <v>1266</v>
      </c>
      <c r="E17" t="s">
        <v>1266</v>
      </c>
      <c r="F17">
        <v>84</v>
      </c>
    </row>
    <row r="18" spans="1:6">
      <c r="A18" t="s">
        <v>1335</v>
      </c>
      <c r="B18" t="s">
        <v>358</v>
      </c>
      <c r="C18">
        <f>VLOOKUP(Inv_Master[[#This Row],[التوجية المحاسبي]],'COA_Mtble'!C:D,2,0)</f>
        <v>1</v>
      </c>
      <c r="D18" t="s">
        <v>1173</v>
      </c>
      <c r="E18" t="s">
        <v>1173</v>
      </c>
      <c r="F18">
        <v>2</v>
      </c>
    </row>
    <row r="19" spans="1:6">
      <c r="A19" t="s">
        <v>1218</v>
      </c>
      <c r="B19" t="s">
        <v>396</v>
      </c>
      <c r="C19">
        <f>VLOOKUP(Inv_Master[[#This Row],[التوجية المحاسبي]],'COA_Mtble'!C:D,2,0)</f>
        <v>20</v>
      </c>
      <c r="D19" t="s">
        <v>1168</v>
      </c>
      <c r="E19" t="s">
        <v>1219</v>
      </c>
      <c r="F19">
        <v>82</v>
      </c>
    </row>
    <row r="20" spans="1:6">
      <c r="A20" t="s">
        <v>603</v>
      </c>
      <c r="B20" t="s">
        <v>392</v>
      </c>
      <c r="C20">
        <f>VLOOKUP(Inv_Master[[#This Row],[التوجية المحاسبي]],'COA_Mtble'!C:D,2,0)</f>
        <v>18</v>
      </c>
      <c r="D20" t="s">
        <v>1168</v>
      </c>
      <c r="E20" t="s">
        <v>1169</v>
      </c>
      <c r="F20">
        <v>79</v>
      </c>
    </row>
    <row r="21" spans="1:6">
      <c r="A21" t="s">
        <v>1325</v>
      </c>
      <c r="B21" t="s">
        <v>420</v>
      </c>
      <c r="C21">
        <f>VLOOKUP(Inv_Master[[#This Row],[التوجية المحاسبي]],'COA_Mtble'!C:D,2,0)</f>
        <v>32</v>
      </c>
      <c r="D21" t="s">
        <v>1184</v>
      </c>
      <c r="E21" t="s">
        <v>1184</v>
      </c>
      <c r="F21" t="s">
        <v>1164</v>
      </c>
    </row>
    <row r="22" spans="1:6">
      <c r="A22" t="s">
        <v>1395</v>
      </c>
      <c r="B22" t="s">
        <v>396</v>
      </c>
      <c r="C22">
        <f>VLOOKUP(Inv_Master[[#This Row],[التوجية المحاسبي]],'COA_Mtble'!C:D,2,0)</f>
        <v>20</v>
      </c>
      <c r="D22" t="s">
        <v>1355</v>
      </c>
      <c r="E22" t="s">
        <v>1355</v>
      </c>
      <c r="F22">
        <v>108</v>
      </c>
    </row>
    <row r="23" spans="1:6">
      <c r="A23" t="s">
        <v>1365</v>
      </c>
      <c r="B23" t="s">
        <v>402</v>
      </c>
      <c r="C23">
        <f>VLOOKUP(Inv_Master[[#This Row],[التوجية المحاسبي]],'COA_Mtble'!C:D,2,0)</f>
        <v>23</v>
      </c>
      <c r="D23" t="s">
        <v>1355</v>
      </c>
      <c r="E23" t="s">
        <v>1355</v>
      </c>
      <c r="F23" t="s">
        <v>1544</v>
      </c>
    </row>
    <row r="24" spans="1:6">
      <c r="A24" t="s">
        <v>1170</v>
      </c>
      <c r="B24" t="s">
        <v>420</v>
      </c>
      <c r="C24">
        <f>VLOOKUP(Inv_Master[[#This Row],[التوجية المحاسبي]],'COA_Mtble'!C:D,2,0)</f>
        <v>32</v>
      </c>
      <c r="D24" t="s">
        <v>1168</v>
      </c>
      <c r="E24" t="s">
        <v>1171</v>
      </c>
      <c r="F24" t="s">
        <v>1164</v>
      </c>
    </row>
    <row r="25" spans="1:6">
      <c r="A25" t="s">
        <v>1364</v>
      </c>
      <c r="B25" t="s">
        <v>398</v>
      </c>
      <c r="C25">
        <f>VLOOKUP(Inv_Master[[#This Row],[التوجية المحاسبي]],'COA_Mtble'!C:D,2,0)</f>
        <v>21</v>
      </c>
      <c r="D25" t="s">
        <v>1355</v>
      </c>
      <c r="E25" t="s">
        <v>1355</v>
      </c>
      <c r="F25">
        <v>110</v>
      </c>
    </row>
    <row r="26" spans="1:6">
      <c r="A26" t="s">
        <v>1270</v>
      </c>
      <c r="B26" t="s">
        <v>420</v>
      </c>
      <c r="C26">
        <f>VLOOKUP(Inv_Master[[#This Row],[التوجية المحاسبي]],'COA_Mtble'!C:D,2,0)</f>
        <v>32</v>
      </c>
      <c r="D26" t="s">
        <v>1168</v>
      </c>
      <c r="E26" t="s">
        <v>1203</v>
      </c>
      <c r="F26" t="s">
        <v>1164</v>
      </c>
    </row>
    <row r="27" spans="1:6">
      <c r="A27" t="s">
        <v>1581</v>
      </c>
      <c r="B27" t="s">
        <v>404</v>
      </c>
      <c r="C27">
        <f>VLOOKUP(Inv_Master[[#This Row],[التوجية المحاسبي]],'COA_Mtble'!C:D,2,0)</f>
        <v>24</v>
      </c>
      <c r="D27" s="23" t="s">
        <v>1587</v>
      </c>
      <c r="E27" s="23" t="s">
        <v>1587</v>
      </c>
      <c r="F27">
        <v>113</v>
      </c>
    </row>
    <row r="28" spans="1:6">
      <c r="A28" s="33" t="s">
        <v>1638</v>
      </c>
      <c r="C28" t="e">
        <f>VLOOKUP(Inv_Master[[#This Row],[التوجية المحاسبي]],'COA_Mtble'!C:D,2,0)</f>
        <v>#N/A</v>
      </c>
      <c r="F28">
        <v>115</v>
      </c>
    </row>
    <row r="29" spans="1:6">
      <c r="A29" t="s">
        <v>1343</v>
      </c>
      <c r="B29" t="s">
        <v>400</v>
      </c>
      <c r="C29">
        <f>VLOOKUP(Inv_Master[[#This Row],[التوجية المحاسبي]],'COA_Mtble'!C:D,2,0)</f>
        <v>22</v>
      </c>
      <c r="D29" t="s">
        <v>1244</v>
      </c>
      <c r="E29" t="s">
        <v>1244</v>
      </c>
      <c r="F29">
        <v>72</v>
      </c>
    </row>
    <row r="30" spans="1:6">
      <c r="A30" t="s">
        <v>1377</v>
      </c>
      <c r="B30" t="s">
        <v>404</v>
      </c>
      <c r="C30">
        <f>VLOOKUP(Inv_Master[[#This Row],[التوجية المحاسبي]],'COA_Mtble'!C:D,2,0)</f>
        <v>24</v>
      </c>
      <c r="D30" t="s">
        <v>1355</v>
      </c>
      <c r="E30" t="s">
        <v>1355</v>
      </c>
      <c r="F30">
        <v>109</v>
      </c>
    </row>
    <row r="31" spans="1:6">
      <c r="A31" t="s">
        <v>616</v>
      </c>
      <c r="B31" t="s">
        <v>392</v>
      </c>
      <c r="C31">
        <f>VLOOKUP(Inv_Master[[#This Row],[التوجية المحاسبي]],'COA_Mtble'!C:D,2,0)</f>
        <v>18</v>
      </c>
      <c r="D31" t="s">
        <v>1266</v>
      </c>
      <c r="E31" t="s">
        <v>1266</v>
      </c>
      <c r="F31">
        <v>84</v>
      </c>
    </row>
    <row r="32" spans="1:6">
      <c r="A32" t="s">
        <v>1401</v>
      </c>
      <c r="B32" t="s">
        <v>402</v>
      </c>
      <c r="C32">
        <f>VLOOKUP(Inv_Master[[#This Row],[التوجية المحاسبي]],'COA_Mtble'!C:D,2,0)</f>
        <v>23</v>
      </c>
      <c r="D32" t="s">
        <v>1382</v>
      </c>
      <c r="E32" t="s">
        <v>1382</v>
      </c>
      <c r="F32">
        <v>108</v>
      </c>
    </row>
    <row r="33" spans="1:6">
      <c r="A33" s="33" t="s">
        <v>1644</v>
      </c>
      <c r="C33" t="e">
        <f>VLOOKUP(Inv_Master[[#This Row],[التوجية المحاسبي]],'COA_Mtble'!C:D,2,0)</f>
        <v>#N/A</v>
      </c>
      <c r="F33">
        <v>119</v>
      </c>
    </row>
    <row r="34" spans="1:6">
      <c r="A34" t="s">
        <v>1318</v>
      </c>
      <c r="B34" t="s">
        <v>420</v>
      </c>
      <c r="C34">
        <f>VLOOKUP(Inv_Master[[#This Row],[التوجية المحاسبي]],'COA_Mtble'!C:D,2,0)</f>
        <v>32</v>
      </c>
      <c r="D34" t="s">
        <v>1168</v>
      </c>
      <c r="E34" t="s">
        <v>1178</v>
      </c>
      <c r="F34" t="s">
        <v>1273</v>
      </c>
    </row>
    <row r="35" spans="1:6">
      <c r="A35" t="s">
        <v>1230</v>
      </c>
      <c r="B35" t="s">
        <v>408</v>
      </c>
      <c r="C35">
        <f>VLOOKUP(Inv_Master[[#This Row],[التوجية المحاسبي]],'COA_Mtble'!C:D,2,0)</f>
        <v>26</v>
      </c>
      <c r="D35" t="s">
        <v>1168</v>
      </c>
      <c r="E35" t="s">
        <v>1182</v>
      </c>
      <c r="F35">
        <v>78</v>
      </c>
    </row>
    <row r="36" spans="1:6">
      <c r="A36" s="33" t="s">
        <v>1628</v>
      </c>
      <c r="C36" t="e">
        <f>VLOOKUP(Inv_Master[[#This Row],[التوجية المحاسبي]],'COA_Mtble'!C:D,2,0)</f>
        <v>#N/A</v>
      </c>
      <c r="F36">
        <v>115</v>
      </c>
    </row>
    <row r="37" spans="1:6">
      <c r="A37" t="s">
        <v>1210</v>
      </c>
      <c r="B37" t="s">
        <v>414</v>
      </c>
      <c r="C37">
        <f>VLOOKUP(Inv_Master[[#This Row],[التوجية المحاسبي]],'COA_Mtble'!C:D,2,0)</f>
        <v>29</v>
      </c>
      <c r="D37" t="s">
        <v>1168</v>
      </c>
      <c r="E37" t="s">
        <v>1197</v>
      </c>
      <c r="F37">
        <v>85</v>
      </c>
    </row>
    <row r="38" spans="1:6">
      <c r="A38" t="s">
        <v>1317</v>
      </c>
      <c r="B38" t="s">
        <v>406</v>
      </c>
      <c r="C38">
        <f>VLOOKUP(Inv_Master[[#This Row],[التوجية المحاسبي]],'COA_Mtble'!C:D,2,0)</f>
        <v>25</v>
      </c>
      <c r="D38" t="s">
        <v>1163</v>
      </c>
      <c r="E38" t="s">
        <v>1163</v>
      </c>
      <c r="F38">
        <v>103</v>
      </c>
    </row>
    <row r="39" spans="1:6">
      <c r="A39" t="s">
        <v>589</v>
      </c>
      <c r="B39" t="s">
        <v>392</v>
      </c>
      <c r="C39">
        <f>VLOOKUP(Inv_Master[[#This Row],[التوجية المحاسبي]],'COA_Mtble'!C:D,2,0)</f>
        <v>18</v>
      </c>
      <c r="D39" t="s">
        <v>1182</v>
      </c>
      <c r="E39" t="s">
        <v>1182</v>
      </c>
      <c r="F39">
        <v>71</v>
      </c>
    </row>
    <row r="40" spans="1:6">
      <c r="A40" s="33" t="s">
        <v>1633</v>
      </c>
      <c r="C40" t="e">
        <f>VLOOKUP(Inv_Master[[#This Row],[التوجية المحاسبي]],'COA_Mtble'!C:D,2,0)</f>
        <v>#N/A</v>
      </c>
      <c r="F40">
        <v>115</v>
      </c>
    </row>
    <row r="41" spans="1:6">
      <c r="A41" t="s">
        <v>1293</v>
      </c>
      <c r="B41" t="s">
        <v>392</v>
      </c>
      <c r="C41">
        <f>VLOOKUP(Inv_Master[[#This Row],[التوجية المحاسبي]],'COA_Mtble'!C:D,2,0)</f>
        <v>18</v>
      </c>
      <c r="D41" t="s">
        <v>1168</v>
      </c>
      <c r="E41" t="s">
        <v>1169</v>
      </c>
      <c r="F41">
        <v>79</v>
      </c>
    </row>
    <row r="42" spans="1:6">
      <c r="A42" t="s">
        <v>1308</v>
      </c>
      <c r="B42" t="s">
        <v>392</v>
      </c>
      <c r="C42">
        <f>VLOOKUP(Inv_Master[[#This Row],[التوجية المحاسبي]],'COA_Mtble'!C:D,2,0)</f>
        <v>18</v>
      </c>
      <c r="D42" t="s">
        <v>1184</v>
      </c>
      <c r="E42" t="s">
        <v>1184</v>
      </c>
      <c r="F42">
        <v>74</v>
      </c>
    </row>
    <row r="43" spans="1:6">
      <c r="A43" t="s">
        <v>1198</v>
      </c>
      <c r="B43" t="s">
        <v>630</v>
      </c>
      <c r="C43" t="s">
        <v>1175</v>
      </c>
      <c r="D43" t="s">
        <v>1197</v>
      </c>
      <c r="E43" t="s">
        <v>1197</v>
      </c>
      <c r="F43" t="s">
        <v>1164</v>
      </c>
    </row>
    <row r="44" spans="1:6">
      <c r="A44" t="s">
        <v>1222</v>
      </c>
      <c r="B44" t="s">
        <v>358</v>
      </c>
      <c r="C44">
        <f>VLOOKUP(Inv_Master[[#This Row],[التوجية المحاسبي]],'COA_Mtble'!C:D,2,0)</f>
        <v>1</v>
      </c>
      <c r="D44" t="s">
        <v>1173</v>
      </c>
      <c r="E44" t="s">
        <v>1173</v>
      </c>
      <c r="F44">
        <v>65</v>
      </c>
    </row>
    <row r="45" spans="1:6">
      <c r="A45" t="s">
        <v>1405</v>
      </c>
      <c r="B45" t="s">
        <v>420</v>
      </c>
      <c r="C45">
        <f>VLOOKUP(Inv_Master[[#This Row],[التوجية المحاسبي]],'COA_Mtble'!C:D,2,0)</f>
        <v>32</v>
      </c>
      <c r="D45" t="s">
        <v>1382</v>
      </c>
      <c r="E45" t="s">
        <v>1382</v>
      </c>
      <c r="F45">
        <v>108</v>
      </c>
    </row>
    <row r="46" spans="1:6">
      <c r="A46" t="s">
        <v>1436</v>
      </c>
      <c r="B46" t="s">
        <v>406</v>
      </c>
      <c r="C46">
        <f>VLOOKUP(Inv_Master[[#This Row],[التوجية المحاسبي]],'COA_Mtble'!C:D,2,0)</f>
        <v>25</v>
      </c>
      <c r="D46" s="23" t="s">
        <v>1440</v>
      </c>
      <c r="E46" s="23" t="s">
        <v>1440</v>
      </c>
      <c r="F46">
        <v>102</v>
      </c>
    </row>
    <row r="47" spans="1:6">
      <c r="A47" t="s">
        <v>1268</v>
      </c>
      <c r="B47" t="s">
        <v>408</v>
      </c>
      <c r="C47">
        <f>VLOOKUP(Inv_Master[[#This Row],[التوجية المحاسبي]],'COA_Mtble'!C:D,2,0)</f>
        <v>26</v>
      </c>
      <c r="D47" t="s">
        <v>1173</v>
      </c>
      <c r="E47" t="s">
        <v>1173</v>
      </c>
      <c r="F47">
        <v>2</v>
      </c>
    </row>
    <row r="48" spans="1:6">
      <c r="A48" t="s">
        <v>1217</v>
      </c>
      <c r="B48" t="s">
        <v>396</v>
      </c>
      <c r="C48">
        <f>VLOOKUP(Inv_Master[[#This Row],[التوجية المحاسبي]],'COA_Mtble'!C:D,2,0)</f>
        <v>20</v>
      </c>
      <c r="D48" t="s">
        <v>1168</v>
      </c>
      <c r="E48" t="s">
        <v>1197</v>
      </c>
      <c r="F48">
        <v>84</v>
      </c>
    </row>
    <row r="49" spans="1:6">
      <c r="A49" t="s">
        <v>1322</v>
      </c>
      <c r="B49" t="s">
        <v>400</v>
      </c>
      <c r="C49">
        <f>VLOOKUP(Inv_Master[[#This Row],[التوجية المحاسبي]],'COA_Mtble'!C:D,2,0)</f>
        <v>22</v>
      </c>
      <c r="D49" t="s">
        <v>1173</v>
      </c>
      <c r="E49" t="s">
        <v>1173</v>
      </c>
      <c r="F49">
        <v>70</v>
      </c>
    </row>
    <row r="50" spans="1:6">
      <c r="A50" t="s">
        <v>667</v>
      </c>
      <c r="B50" t="s">
        <v>392</v>
      </c>
      <c r="C50">
        <f>VLOOKUP(Inv_Master[[#This Row],[التوجية المحاسبي]],'COA_Mtble'!C:D,2,0)</f>
        <v>18</v>
      </c>
      <c r="D50" t="s">
        <v>1292</v>
      </c>
      <c r="E50" t="s">
        <v>1292</v>
      </c>
      <c r="F50">
        <v>106</v>
      </c>
    </row>
    <row r="51" spans="1:6">
      <c r="A51" t="s">
        <v>1235</v>
      </c>
      <c r="B51" t="s">
        <v>404</v>
      </c>
      <c r="C51">
        <f>VLOOKUP(Inv_Master[[#This Row],[التوجية المحاسبي]],'COA_Mtble'!C:D,2,0)</f>
        <v>24</v>
      </c>
      <c r="D51" t="s">
        <v>1168</v>
      </c>
      <c r="E51" t="s">
        <v>1201</v>
      </c>
      <c r="F51">
        <v>85</v>
      </c>
    </row>
    <row r="52" spans="1:6">
      <c r="A52" t="s">
        <v>1384</v>
      </c>
      <c r="B52" t="s">
        <v>404</v>
      </c>
      <c r="C52">
        <f>VLOOKUP(Inv_Master[[#This Row],[التوجية المحاسبي]],'COA_Mtble'!C:D,2,0)</f>
        <v>24</v>
      </c>
      <c r="D52" t="s">
        <v>1355</v>
      </c>
      <c r="E52" t="s">
        <v>1355</v>
      </c>
      <c r="F52">
        <v>107</v>
      </c>
    </row>
    <row r="53" spans="1:6">
      <c r="A53" t="s">
        <v>1307</v>
      </c>
      <c r="B53" t="s">
        <v>392</v>
      </c>
      <c r="C53">
        <f>VLOOKUP(Inv_Master[[#This Row],[التوجية المحاسبي]],'COA_Mtble'!C:D,2,0)</f>
        <v>18</v>
      </c>
      <c r="D53" t="s">
        <v>1184</v>
      </c>
      <c r="E53" t="s">
        <v>1184</v>
      </c>
      <c r="F53">
        <v>74</v>
      </c>
    </row>
    <row r="54" spans="1:6">
      <c r="A54" t="s">
        <v>1214</v>
      </c>
      <c r="B54" t="s">
        <v>396</v>
      </c>
      <c r="C54">
        <f>VLOOKUP(Inv_Master[[#This Row],[التوجية المحاسبي]],'COA_Mtble'!C:D,2,0)</f>
        <v>20</v>
      </c>
      <c r="D54" t="s">
        <v>1168</v>
      </c>
      <c r="E54" t="s">
        <v>1203</v>
      </c>
      <c r="F54">
        <v>87</v>
      </c>
    </row>
    <row r="55" spans="1:6">
      <c r="A55" t="s">
        <v>1444</v>
      </c>
      <c r="B55" t="s">
        <v>392</v>
      </c>
      <c r="C55">
        <f>VLOOKUP(Inv_Master[[#This Row],[التوجية المحاسبي]],'COA_Mtble'!C:D,2,0)</f>
        <v>18</v>
      </c>
      <c r="D55" s="23" t="s">
        <v>1440</v>
      </c>
      <c r="E55" s="23" t="s">
        <v>1440</v>
      </c>
      <c r="F55">
        <v>113</v>
      </c>
    </row>
    <row r="56" spans="1:6">
      <c r="A56" t="s">
        <v>1208</v>
      </c>
      <c r="B56" t="s">
        <v>414</v>
      </c>
      <c r="C56">
        <f>VLOOKUP(Inv_Master[[#This Row],[التوجية المحاسبي]],'COA_Mtble'!C:D,2,0)</f>
        <v>29</v>
      </c>
      <c r="D56" t="s">
        <v>1163</v>
      </c>
      <c r="E56" t="s">
        <v>1163</v>
      </c>
      <c r="F56">
        <v>103</v>
      </c>
    </row>
    <row r="57" spans="1:6">
      <c r="A57" t="s">
        <v>1303</v>
      </c>
      <c r="B57" t="s">
        <v>392</v>
      </c>
      <c r="C57">
        <f>VLOOKUP(Inv_Master[[#This Row],[التوجية المحاسبي]],'COA_Mtble'!C:D,2,0)</f>
        <v>18</v>
      </c>
      <c r="D57" t="s">
        <v>1171</v>
      </c>
      <c r="E57" t="s">
        <v>1171</v>
      </c>
      <c r="F57">
        <v>69</v>
      </c>
    </row>
    <row r="58" spans="1:6">
      <c r="A58" t="s">
        <v>1205</v>
      </c>
      <c r="B58" t="s">
        <v>398</v>
      </c>
      <c r="C58">
        <f>VLOOKUP(Inv_Master[[#This Row],[التوجية المحاسبي]],'COA_Mtble'!C:D,2,0)</f>
        <v>21</v>
      </c>
      <c r="D58" t="s">
        <v>1173</v>
      </c>
      <c r="E58" t="s">
        <v>1173</v>
      </c>
      <c r="F58">
        <v>69</v>
      </c>
    </row>
    <row r="59" spans="1:6">
      <c r="A59" s="33" t="s">
        <v>1652</v>
      </c>
      <c r="C59" t="e">
        <f>VLOOKUP(Inv_Master[[#This Row],[التوجية المحاسبي]],'COA_Mtble'!C:D,2,0)</f>
        <v>#N/A</v>
      </c>
      <c r="F59">
        <v>120</v>
      </c>
    </row>
    <row r="60" spans="1:6">
      <c r="A60" t="s">
        <v>1392</v>
      </c>
      <c r="B60" t="s">
        <v>396</v>
      </c>
      <c r="C60">
        <f>VLOOKUP(Inv_Master[[#This Row],[التوجية المحاسبي]],'COA_Mtble'!C:D,2,0)</f>
        <v>20</v>
      </c>
      <c r="D60" t="s">
        <v>1355</v>
      </c>
      <c r="E60" t="s">
        <v>1355</v>
      </c>
      <c r="F60">
        <v>108</v>
      </c>
    </row>
    <row r="61" spans="1:6">
      <c r="A61" t="s">
        <v>1225</v>
      </c>
      <c r="B61" t="s">
        <v>358</v>
      </c>
      <c r="C61">
        <f>VLOOKUP(Inv_Master[[#This Row],[التوجية المحاسبي]],'COA_Mtble'!C:D,2,0)</f>
        <v>1</v>
      </c>
      <c r="D61" t="s">
        <v>1173</v>
      </c>
      <c r="E61" t="s">
        <v>1173</v>
      </c>
      <c r="F61" t="s">
        <v>1164</v>
      </c>
    </row>
    <row r="62" spans="1:6">
      <c r="A62" t="s">
        <v>1179</v>
      </c>
      <c r="B62" t="s">
        <v>420</v>
      </c>
      <c r="C62">
        <f>VLOOKUP(Inv_Master[[#This Row],[التوجية المحاسبي]],'COA_Mtble'!C:D,2,0)</f>
        <v>32</v>
      </c>
      <c r="D62" t="s">
        <v>1163</v>
      </c>
      <c r="E62" t="s">
        <v>1163</v>
      </c>
      <c r="F62">
        <v>102</v>
      </c>
    </row>
    <row r="63" spans="1:6">
      <c r="A63" t="s">
        <v>598</v>
      </c>
      <c r="B63" t="s">
        <v>392</v>
      </c>
      <c r="C63">
        <f>VLOOKUP(Inv_Master[[#This Row],[التوجية المحاسبي]],'COA_Mtble'!C:D,2,0)</f>
        <v>18</v>
      </c>
      <c r="D63" t="s">
        <v>1168</v>
      </c>
      <c r="E63" t="s">
        <v>1171</v>
      </c>
      <c r="F63">
        <v>77</v>
      </c>
    </row>
    <row r="64" spans="1:6">
      <c r="A64" t="s">
        <v>1259</v>
      </c>
      <c r="B64" t="s">
        <v>414</v>
      </c>
      <c r="C64">
        <f>VLOOKUP(Inv_Master[[#This Row],[التوجية المحاسبي]],'COA_Mtble'!C:D,2,0)</f>
        <v>29</v>
      </c>
      <c r="D64" t="s">
        <v>1184</v>
      </c>
      <c r="E64" t="s">
        <v>1184</v>
      </c>
      <c r="F64">
        <v>72</v>
      </c>
    </row>
    <row r="65" spans="1:6">
      <c r="A65" t="s">
        <v>1409</v>
      </c>
      <c r="B65" t="s">
        <v>400</v>
      </c>
      <c r="C65">
        <f>VLOOKUP(Inv_Master[[#This Row],[التوجية المحاسبي]],'COA_Mtble'!C:D,2,0)</f>
        <v>22</v>
      </c>
      <c r="D65" t="s">
        <v>1382</v>
      </c>
      <c r="E65" t="s">
        <v>1382</v>
      </c>
      <c r="F65">
        <v>108</v>
      </c>
    </row>
    <row r="66" spans="1:6">
      <c r="A66" t="s">
        <v>1582</v>
      </c>
      <c r="B66" t="s">
        <v>432</v>
      </c>
      <c r="C66">
        <f>VLOOKUP(Inv_Master[[#This Row],[التوجية المحاسبي]],'COA_Mtble'!C:D,2,0)</f>
        <v>38</v>
      </c>
      <c r="D66" s="23" t="s">
        <v>1587</v>
      </c>
      <c r="E66" s="23" t="s">
        <v>1587</v>
      </c>
      <c r="F66" t="s">
        <v>1273</v>
      </c>
    </row>
    <row r="67" spans="1:6">
      <c r="A67" t="s">
        <v>1389</v>
      </c>
      <c r="B67" t="s">
        <v>396</v>
      </c>
      <c r="C67">
        <f>VLOOKUP(Inv_Master[[#This Row],[التوجية المحاسبي]],'COA_Mtble'!C:D,2,0)</f>
        <v>20</v>
      </c>
      <c r="D67" t="s">
        <v>1382</v>
      </c>
      <c r="E67" t="s">
        <v>1382</v>
      </c>
      <c r="F67">
        <v>108</v>
      </c>
    </row>
    <row r="68" spans="1:6">
      <c r="A68" t="s">
        <v>1696</v>
      </c>
      <c r="C68" t="e">
        <f>VLOOKUP(Inv_Master[[#This Row],[التوجية المحاسبي]],'COA_Mtble'!C:D,2,0)</f>
        <v>#N/A</v>
      </c>
      <c r="F68" t="s">
        <v>1164</v>
      </c>
    </row>
    <row r="69" spans="1:6">
      <c r="A69" t="s">
        <v>1232</v>
      </c>
      <c r="B69" t="s">
        <v>408</v>
      </c>
      <c r="C69">
        <f>VLOOKUP(Inv_Master[[#This Row],[التوجية المحاسبي]],'COA_Mtble'!C:D,2,0)</f>
        <v>26</v>
      </c>
      <c r="D69" t="s">
        <v>1182</v>
      </c>
      <c r="E69" t="s">
        <v>1182</v>
      </c>
      <c r="F69">
        <v>78</v>
      </c>
    </row>
    <row r="70" spans="1:6">
      <c r="A70" t="s">
        <v>1181</v>
      </c>
      <c r="B70" t="s">
        <v>420</v>
      </c>
      <c r="C70">
        <f>VLOOKUP(Inv_Master[[#This Row],[التوجية المحاسبي]],'COA_Mtble'!C:D,2,0)</f>
        <v>32</v>
      </c>
      <c r="D70" t="s">
        <v>1168</v>
      </c>
      <c r="E70" t="s">
        <v>1182</v>
      </c>
      <c r="F70">
        <v>79</v>
      </c>
    </row>
    <row r="71" spans="1:6">
      <c r="A71" t="s">
        <v>1224</v>
      </c>
      <c r="B71" t="s">
        <v>358</v>
      </c>
      <c r="C71">
        <f>VLOOKUP(Inv_Master[[#This Row],[التوجية المحاسبي]],'COA_Mtble'!C:D,2,0)</f>
        <v>1</v>
      </c>
      <c r="D71" t="s">
        <v>1173</v>
      </c>
      <c r="E71" t="s">
        <v>1173</v>
      </c>
      <c r="F71" t="s">
        <v>1164</v>
      </c>
    </row>
    <row r="72" spans="1:6">
      <c r="A72" s="33" t="s">
        <v>1669</v>
      </c>
      <c r="C72" t="e">
        <f>VLOOKUP(Inv_Master[[#This Row],[التوجية المحاسبي]],'COA_Mtble'!C:D,2,0)</f>
        <v>#N/A</v>
      </c>
      <c r="F72">
        <v>116</v>
      </c>
    </row>
    <row r="73" spans="1:6">
      <c r="A73" s="33" t="s">
        <v>1660</v>
      </c>
      <c r="C73" t="e">
        <f>VLOOKUP(Inv_Master[[#This Row],[التوجية المحاسبي]],'COA_Mtble'!C:D,2,0)</f>
        <v>#N/A</v>
      </c>
      <c r="F73">
        <v>115</v>
      </c>
    </row>
    <row r="74" spans="1:6">
      <c r="A74" t="s">
        <v>1271</v>
      </c>
      <c r="B74" t="s">
        <v>398</v>
      </c>
      <c r="C74">
        <f>VLOOKUP(Inv_Master[[#This Row],[التوجية المحاسبي]],'COA_Mtble'!C:D,2,0)</f>
        <v>21</v>
      </c>
      <c r="D74" t="s">
        <v>1168</v>
      </c>
      <c r="E74" t="s">
        <v>1169</v>
      </c>
      <c r="F74">
        <v>79</v>
      </c>
    </row>
    <row r="75" spans="1:6">
      <c r="A75" t="s">
        <v>1438</v>
      </c>
      <c r="B75" t="s">
        <v>398</v>
      </c>
      <c r="C75">
        <f>VLOOKUP(Inv_Master[[#This Row],[التوجية المحاسبي]],'COA_Mtble'!C:D,2,0)</f>
        <v>21</v>
      </c>
      <c r="D75" s="23" t="s">
        <v>1440</v>
      </c>
      <c r="E75" s="23" t="s">
        <v>1440</v>
      </c>
      <c r="F75">
        <v>112</v>
      </c>
    </row>
    <row r="76" spans="1:6">
      <c r="A76" s="33" t="s">
        <v>1637</v>
      </c>
      <c r="C76" t="e">
        <f>VLOOKUP(Inv_Master[[#This Row],[التوجية المحاسبي]],'COA_Mtble'!C:D,2,0)</f>
        <v>#N/A</v>
      </c>
      <c r="F76">
        <v>115</v>
      </c>
    </row>
    <row r="77" spans="1:6">
      <c r="A77" t="s">
        <v>1328</v>
      </c>
      <c r="B77" t="s">
        <v>406</v>
      </c>
      <c r="C77">
        <f>VLOOKUP(Inv_Master[[#This Row],[التوجية المحاسبي]],'COA_Mtble'!C:D,2,0)</f>
        <v>25</v>
      </c>
      <c r="D77" t="s">
        <v>1168</v>
      </c>
      <c r="E77" t="s">
        <v>1201</v>
      </c>
      <c r="F77">
        <v>94</v>
      </c>
    </row>
    <row r="78" spans="1:6">
      <c r="A78" t="s">
        <v>626</v>
      </c>
      <c r="B78" t="s">
        <v>392</v>
      </c>
      <c r="C78">
        <f>VLOOKUP(Inv_Master[[#This Row],[التوجية المحاسبي]],'COA_Mtble'!C:D,2,0)</f>
        <v>18</v>
      </c>
      <c r="D78" t="s">
        <v>1203</v>
      </c>
      <c r="E78" t="s">
        <v>1203</v>
      </c>
      <c r="F78">
        <v>87</v>
      </c>
    </row>
    <row r="79" spans="1:6">
      <c r="A79" t="s">
        <v>1339</v>
      </c>
      <c r="B79" t="s">
        <v>400</v>
      </c>
      <c r="C79">
        <f>VLOOKUP(Inv_Master[[#This Row],[التوجية المحاسبي]],'COA_Mtble'!C:D,2,0)</f>
        <v>22</v>
      </c>
      <c r="D79" t="s">
        <v>1168</v>
      </c>
      <c r="E79" t="s">
        <v>1178</v>
      </c>
      <c r="F79">
        <v>91</v>
      </c>
    </row>
    <row r="80" spans="1:6">
      <c r="A80" t="s">
        <v>677</v>
      </c>
      <c r="B80" t="s">
        <v>392</v>
      </c>
      <c r="C80">
        <f>VLOOKUP(Inv_Master[[#This Row],[التوجية المحاسبي]],'COA_Mtble'!C:D,2,0)</f>
        <v>18</v>
      </c>
      <c r="D80" t="s">
        <v>1355</v>
      </c>
      <c r="E80" t="s">
        <v>1355</v>
      </c>
      <c r="F80">
        <v>109</v>
      </c>
    </row>
    <row r="81" spans="1:6">
      <c r="A81" s="33" t="s">
        <v>1643</v>
      </c>
      <c r="C81" t="e">
        <f>VLOOKUP(Inv_Master[[#This Row],[التوجية المحاسبي]],'COA_Mtble'!C:D,2,0)</f>
        <v>#N/A</v>
      </c>
      <c r="F81">
        <v>115</v>
      </c>
    </row>
    <row r="82" spans="1:6">
      <c r="A82" t="s">
        <v>1344</v>
      </c>
      <c r="B82" t="s">
        <v>400</v>
      </c>
      <c r="C82">
        <f>VLOOKUP(Inv_Master[[#This Row],[التوجية المحاسبي]],'COA_Mtble'!C:D,2,0)</f>
        <v>22</v>
      </c>
      <c r="D82" t="s">
        <v>1168</v>
      </c>
      <c r="E82" t="s">
        <v>1178</v>
      </c>
      <c r="F82">
        <v>88</v>
      </c>
    </row>
    <row r="83" spans="1:6">
      <c r="A83" t="s">
        <v>1323</v>
      </c>
      <c r="B83" t="s">
        <v>400</v>
      </c>
      <c r="C83">
        <f>VLOOKUP(Inv_Master[[#This Row],[التوجية المحاسبي]],'COA_Mtble'!C:D,2,0)</f>
        <v>22</v>
      </c>
      <c r="D83" t="s">
        <v>1173</v>
      </c>
      <c r="E83" t="s">
        <v>1173</v>
      </c>
      <c r="F83">
        <v>70</v>
      </c>
    </row>
    <row r="84" spans="1:6">
      <c r="A84" t="s">
        <v>1356</v>
      </c>
      <c r="B84" t="s">
        <v>396</v>
      </c>
      <c r="C84">
        <f>VLOOKUP(Inv_Master[[#This Row],[التوجية المحاسبي]],'COA_Mtble'!C:D,2,0)</f>
        <v>20</v>
      </c>
      <c r="D84" t="s">
        <v>1355</v>
      </c>
      <c r="E84" t="s">
        <v>1355</v>
      </c>
      <c r="F84" t="s">
        <v>1544</v>
      </c>
    </row>
    <row r="85" spans="1:6">
      <c r="A85" s="33" t="s">
        <v>1645</v>
      </c>
      <c r="C85" t="e">
        <f>VLOOKUP(Inv_Master[[#This Row],[التوجية المحاسبي]],'COA_Mtble'!C:D,2,0)</f>
        <v>#N/A</v>
      </c>
      <c r="F85">
        <v>115</v>
      </c>
    </row>
    <row r="86" spans="1:6">
      <c r="A86" t="s">
        <v>1278</v>
      </c>
      <c r="B86" t="s">
        <v>392</v>
      </c>
      <c r="C86">
        <f>VLOOKUP(Inv_Master[[#This Row],[التوجية المحاسبي]],'COA_Mtble'!C:D,2,0)</f>
        <v>18</v>
      </c>
      <c r="D86" t="s">
        <v>1166</v>
      </c>
      <c r="E86" t="s">
        <v>1203</v>
      </c>
      <c r="F86">
        <v>87</v>
      </c>
    </row>
    <row r="87" spans="1:6">
      <c r="A87" s="33" t="s">
        <v>1629</v>
      </c>
      <c r="C87" t="e">
        <f>VLOOKUP(Inv_Master[[#This Row],[التوجية المحاسبي]],'COA_Mtble'!C:D,2,0)</f>
        <v>#N/A</v>
      </c>
      <c r="F87">
        <v>116</v>
      </c>
    </row>
    <row r="88" spans="1:6">
      <c r="A88" t="s">
        <v>1336</v>
      </c>
      <c r="B88" t="s">
        <v>400</v>
      </c>
      <c r="C88">
        <f>VLOOKUP(Inv_Master[[#This Row],[التوجية المحاسبي]],'COA_Mtble'!C:D,2,0)</f>
        <v>22</v>
      </c>
      <c r="D88" t="s">
        <v>1163</v>
      </c>
      <c r="E88" t="s">
        <v>1163</v>
      </c>
      <c r="F88">
        <v>103</v>
      </c>
    </row>
    <row r="89" spans="1:6">
      <c r="A89" t="s">
        <v>1180</v>
      </c>
      <c r="B89" t="s">
        <v>420</v>
      </c>
      <c r="C89">
        <f>VLOOKUP(Inv_Master[[#This Row],[التوجية المحاسبي]],'COA_Mtble'!C:D,2,0)</f>
        <v>32</v>
      </c>
      <c r="D89" t="s">
        <v>1166</v>
      </c>
      <c r="E89" t="s">
        <v>1166</v>
      </c>
      <c r="F89">
        <v>91</v>
      </c>
    </row>
    <row r="90" spans="1:6">
      <c r="A90" s="33" t="s">
        <v>1639</v>
      </c>
      <c r="C90" t="e">
        <f>VLOOKUP(Inv_Master[[#This Row],[التوجية المحاسبي]],'COA_Mtble'!C:D,2,0)</f>
        <v>#N/A</v>
      </c>
      <c r="F90">
        <v>117</v>
      </c>
    </row>
    <row r="91" spans="1:6">
      <c r="A91" t="s">
        <v>1571</v>
      </c>
      <c r="B91" t="s">
        <v>414</v>
      </c>
      <c r="C91">
        <f>VLOOKUP(Inv_Master[[#This Row],[التوجية المحاسبي]],'COA_Mtble'!C:D,2,0)</f>
        <v>29</v>
      </c>
      <c r="D91" s="23" t="s">
        <v>1440</v>
      </c>
      <c r="E91" s="23" t="s">
        <v>1440</v>
      </c>
      <c r="F91">
        <v>113</v>
      </c>
    </row>
    <row r="92" spans="1:6">
      <c r="A92" t="s">
        <v>1376</v>
      </c>
      <c r="B92" t="s">
        <v>402</v>
      </c>
      <c r="C92">
        <f>VLOOKUP(Inv_Master[[#This Row],[التوجية المحاسبي]],'COA_Mtble'!C:D,2,0)</f>
        <v>23</v>
      </c>
      <c r="D92" t="s">
        <v>1355</v>
      </c>
      <c r="E92" t="s">
        <v>1355</v>
      </c>
      <c r="F92">
        <v>108</v>
      </c>
    </row>
    <row r="93" spans="1:6">
      <c r="A93" s="33" t="s">
        <v>1657</v>
      </c>
      <c r="C93" t="e">
        <f>VLOOKUP(Inv_Master[[#This Row],[التوجية المحاسبي]],'COA_Mtble'!C:D,2,0)</f>
        <v>#N/A</v>
      </c>
      <c r="F93">
        <v>119</v>
      </c>
    </row>
    <row r="94" spans="1:6">
      <c r="A94" t="s">
        <v>1340</v>
      </c>
      <c r="B94" t="s">
        <v>400</v>
      </c>
      <c r="C94">
        <f>VLOOKUP(Inv_Master[[#This Row],[التوجية المحاسبي]],'COA_Mtble'!C:D,2,0)</f>
        <v>22</v>
      </c>
      <c r="D94" t="s">
        <v>1168</v>
      </c>
      <c r="E94" t="s">
        <v>1203</v>
      </c>
      <c r="F94">
        <v>86</v>
      </c>
    </row>
    <row r="95" spans="1:6">
      <c r="A95" t="s">
        <v>1368</v>
      </c>
      <c r="B95" t="s">
        <v>414</v>
      </c>
      <c r="C95">
        <f>VLOOKUP(Inv_Master[[#This Row],[التوجية المحاسبي]],'COA_Mtble'!C:D,2,0)</f>
        <v>29</v>
      </c>
      <c r="D95" t="s">
        <v>1355</v>
      </c>
      <c r="E95" t="s">
        <v>1355</v>
      </c>
      <c r="F95">
        <v>108</v>
      </c>
    </row>
    <row r="96" spans="1:6">
      <c r="A96" t="s">
        <v>1242</v>
      </c>
      <c r="B96" t="s">
        <v>404</v>
      </c>
      <c r="C96">
        <f>VLOOKUP(Inv_Master[[#This Row],[التوجية المحاسبي]],'COA_Mtble'!C:D,2,0)</f>
        <v>24</v>
      </c>
      <c r="D96" t="s">
        <v>1168</v>
      </c>
      <c r="E96" t="s">
        <v>1182</v>
      </c>
      <c r="F96">
        <v>76</v>
      </c>
    </row>
    <row r="97" spans="1:6">
      <c r="A97" t="s">
        <v>1406</v>
      </c>
      <c r="B97" t="s">
        <v>420</v>
      </c>
      <c r="C97">
        <f>VLOOKUP(Inv_Master[[#This Row],[التوجية المحاسبي]],'COA_Mtble'!C:D,2,0)</f>
        <v>32</v>
      </c>
      <c r="D97" t="s">
        <v>1382</v>
      </c>
      <c r="E97" t="s">
        <v>1382</v>
      </c>
      <c r="F97">
        <v>108</v>
      </c>
    </row>
    <row r="98" spans="1:6">
      <c r="A98" t="s">
        <v>1439</v>
      </c>
      <c r="B98" t="s">
        <v>402</v>
      </c>
      <c r="C98">
        <f>VLOOKUP(Inv_Master[[#This Row],[التوجية المحاسبي]],'COA_Mtble'!C:D,2,0)</f>
        <v>23</v>
      </c>
      <c r="D98" t="s">
        <v>1382</v>
      </c>
      <c r="E98" t="s">
        <v>1382</v>
      </c>
      <c r="F98" t="s">
        <v>1544</v>
      </c>
    </row>
    <row r="99" spans="1:6">
      <c r="A99" t="s">
        <v>1196</v>
      </c>
      <c r="B99" t="s">
        <v>404</v>
      </c>
      <c r="C99">
        <f>VLOOKUP(Inv_Master[[#This Row],[التوجية المحاسبي]],'COA_Mtble'!C:D,2,0)</f>
        <v>24</v>
      </c>
      <c r="D99" t="s">
        <v>1168</v>
      </c>
      <c r="E99" t="s">
        <v>1197</v>
      </c>
      <c r="F99">
        <v>86</v>
      </c>
    </row>
    <row r="100" spans="1:6">
      <c r="A100" t="s">
        <v>1697</v>
      </c>
      <c r="C100" t="e">
        <f>VLOOKUP(Inv_Master[[#This Row],[التوجية المحاسبي]],'COA_Mtble'!C:D,2,0)</f>
        <v>#N/A</v>
      </c>
      <c r="F100" t="s">
        <v>1164</v>
      </c>
    </row>
    <row r="101" spans="1:6">
      <c r="A101" s="33" t="s">
        <v>1661</v>
      </c>
      <c r="C101" t="e">
        <f>VLOOKUP(Inv_Master[[#This Row],[التوجية المحاسبي]],'COA_Mtble'!C:D,2,0)</f>
        <v>#N/A</v>
      </c>
      <c r="F101">
        <v>119</v>
      </c>
    </row>
    <row r="102" spans="1:6">
      <c r="A102" t="s">
        <v>1204</v>
      </c>
      <c r="B102" t="s">
        <v>398</v>
      </c>
      <c r="C102">
        <f>VLOOKUP(Inv_Master[[#This Row],[التوجية المحاسبي]],'COA_Mtble'!C:D,2,0)</f>
        <v>21</v>
      </c>
      <c r="D102" t="s">
        <v>1168</v>
      </c>
      <c r="E102" t="s">
        <v>1191</v>
      </c>
      <c r="F102">
        <v>83</v>
      </c>
    </row>
    <row r="103" spans="1:6">
      <c r="A103" t="s">
        <v>1262</v>
      </c>
      <c r="B103" t="s">
        <v>408</v>
      </c>
      <c r="C103">
        <f>VLOOKUP(Inv_Master[[#This Row],[التوجية المحاسبي]],'COA_Mtble'!C:D,2,0)</f>
        <v>26</v>
      </c>
      <c r="D103" t="s">
        <v>1168</v>
      </c>
      <c r="E103" t="s">
        <v>1203</v>
      </c>
      <c r="F103" t="s">
        <v>1164</v>
      </c>
    </row>
    <row r="104" spans="1:6">
      <c r="A104" t="s">
        <v>680</v>
      </c>
      <c r="B104" t="s">
        <v>392</v>
      </c>
      <c r="C104">
        <f>VLOOKUP(Inv_Master[[#This Row],[التوجية المحاسبي]],'COA_Mtble'!C:D,2,0)</f>
        <v>18</v>
      </c>
      <c r="D104" t="s">
        <v>1355</v>
      </c>
      <c r="E104" t="s">
        <v>1355</v>
      </c>
      <c r="F104">
        <v>110</v>
      </c>
    </row>
    <row r="105" spans="1:6">
      <c r="A105" t="s">
        <v>1207</v>
      </c>
      <c r="B105" t="s">
        <v>358</v>
      </c>
      <c r="C105">
        <f>VLOOKUP(Inv_Master[[#This Row],[التوجية المحاسبي]],'COA_Mtble'!C:D,2,0)</f>
        <v>1</v>
      </c>
      <c r="D105" t="s">
        <v>1173</v>
      </c>
      <c r="E105" t="s">
        <v>1173</v>
      </c>
      <c r="F105">
        <v>38</v>
      </c>
    </row>
    <row r="106" spans="1:6">
      <c r="A106" t="s">
        <v>1576</v>
      </c>
      <c r="B106" t="s">
        <v>404</v>
      </c>
      <c r="C106">
        <f>VLOOKUP(Inv_Master[[#This Row],[التوجية المحاسبي]],'COA_Mtble'!C:D,2,0)</f>
        <v>24</v>
      </c>
      <c r="D106" s="23" t="s">
        <v>1587</v>
      </c>
      <c r="E106" s="23" t="s">
        <v>1587</v>
      </c>
      <c r="F106" t="s">
        <v>1164</v>
      </c>
    </row>
    <row r="107" spans="1:6">
      <c r="A107" s="33" t="s">
        <v>1670</v>
      </c>
      <c r="C107" t="e">
        <f>VLOOKUP(Inv_Master[[#This Row],[التوجية المحاسبي]],'COA_Mtble'!C:D,2,0)</f>
        <v>#N/A</v>
      </c>
      <c r="F107">
        <v>116</v>
      </c>
    </row>
    <row r="108" spans="1:6">
      <c r="A108" t="s">
        <v>1367</v>
      </c>
      <c r="B108" t="s">
        <v>414</v>
      </c>
      <c r="C108">
        <f>VLOOKUP(Inv_Master[[#This Row],[التوجية المحاسبي]],'COA_Mtble'!C:D,2,0)</f>
        <v>29</v>
      </c>
      <c r="D108" t="s">
        <v>1355</v>
      </c>
      <c r="E108" t="s">
        <v>1355</v>
      </c>
      <c r="F108">
        <v>108</v>
      </c>
    </row>
    <row r="109" spans="1:6">
      <c r="A109" t="s">
        <v>1326</v>
      </c>
      <c r="B109" t="s">
        <v>404</v>
      </c>
      <c r="C109">
        <f>VLOOKUP(Inv_Master[[#This Row],[التوجية المحاسبي]],'COA_Mtble'!C:D,2,0)</f>
        <v>24</v>
      </c>
      <c r="D109" t="s">
        <v>1163</v>
      </c>
      <c r="E109" t="s">
        <v>1163</v>
      </c>
      <c r="F109">
        <v>102</v>
      </c>
    </row>
    <row r="110" spans="1:6">
      <c r="A110" s="33" t="s">
        <v>1640</v>
      </c>
      <c r="C110" t="e">
        <f>VLOOKUP(Inv_Master[[#This Row],[التوجية المحاسبي]],'COA_Mtble'!C:D,2,0)</f>
        <v>#N/A</v>
      </c>
      <c r="F110">
        <v>118</v>
      </c>
    </row>
    <row r="111" spans="1:6">
      <c r="A111" s="33" t="s">
        <v>1647</v>
      </c>
      <c r="C111" t="e">
        <f>VLOOKUP(Inv_Master[[#This Row],[التوجية المحاسبي]],'COA_Mtble'!C:D,2,0)</f>
        <v>#N/A</v>
      </c>
      <c r="F111">
        <v>116</v>
      </c>
    </row>
    <row r="112" spans="1:6">
      <c r="A112" s="33" t="s">
        <v>1655</v>
      </c>
      <c r="C112" t="e">
        <f>VLOOKUP(Inv_Master[[#This Row],[التوجية المحاسبي]],'COA_Mtble'!C:D,2,0)</f>
        <v>#N/A</v>
      </c>
      <c r="F112">
        <v>115</v>
      </c>
    </row>
    <row r="113" spans="1:6">
      <c r="A113" t="s">
        <v>634</v>
      </c>
      <c r="B113" t="s">
        <v>392</v>
      </c>
      <c r="C113">
        <f>VLOOKUP(Inv_Master[[#This Row],[التوجية المحاسبي]],'COA_Mtble'!C:D,2,0)</f>
        <v>18</v>
      </c>
      <c r="D113" t="s">
        <v>1163</v>
      </c>
      <c r="E113" t="s">
        <v>1201</v>
      </c>
      <c r="F113">
        <v>90</v>
      </c>
    </row>
    <row r="114" spans="1:6">
      <c r="A114" t="s">
        <v>1310</v>
      </c>
      <c r="B114" t="s">
        <v>392</v>
      </c>
      <c r="C114">
        <f>VLOOKUP(Inv_Master[[#This Row],[التوجية المحاسبي]],'COA_Mtble'!C:D,2,0)</f>
        <v>18</v>
      </c>
      <c r="D114" t="s">
        <v>1173</v>
      </c>
      <c r="E114" t="s">
        <v>1173</v>
      </c>
      <c r="F114">
        <v>74</v>
      </c>
    </row>
    <row r="115" spans="1:6">
      <c r="A115" t="s">
        <v>1254</v>
      </c>
      <c r="B115" t="s">
        <v>398</v>
      </c>
      <c r="C115">
        <f>VLOOKUP(Inv_Master[[#This Row],[التوجية المحاسبي]],'COA_Mtble'!C:D,2,0)</f>
        <v>21</v>
      </c>
      <c r="D115" t="s">
        <v>1163</v>
      </c>
      <c r="E115" t="s">
        <v>1163</v>
      </c>
      <c r="F115">
        <v>103</v>
      </c>
    </row>
    <row r="116" spans="1:6">
      <c r="A116" t="s">
        <v>1190</v>
      </c>
      <c r="B116" t="s">
        <v>402</v>
      </c>
      <c r="C116">
        <f>VLOOKUP(Inv_Master[[#This Row],[التوجية المحاسبي]],'COA_Mtble'!C:D,2,0)</f>
        <v>23</v>
      </c>
      <c r="D116" t="s">
        <v>1168</v>
      </c>
      <c r="E116" t="s">
        <v>1191</v>
      </c>
      <c r="F116">
        <v>79</v>
      </c>
    </row>
    <row r="117" spans="1:6">
      <c r="A117" t="s">
        <v>1212</v>
      </c>
      <c r="B117" t="s">
        <v>396</v>
      </c>
      <c r="C117">
        <f>VLOOKUP(Inv_Master[[#This Row],[التوجية المحاسبي]],'COA_Mtble'!C:D,2,0)</f>
        <v>20</v>
      </c>
      <c r="D117" t="s">
        <v>1163</v>
      </c>
      <c r="E117" t="s">
        <v>1163</v>
      </c>
      <c r="F117">
        <v>103</v>
      </c>
    </row>
    <row r="118" spans="1:6">
      <c r="A118" s="36" t="s">
        <v>1634</v>
      </c>
      <c r="C118" t="e">
        <f>VLOOKUP(Inv_Master[[#This Row],[التوجية المحاسبي]],'COA_Mtble'!C:D,2,0)</f>
        <v>#N/A</v>
      </c>
      <c r="F118">
        <v>115</v>
      </c>
    </row>
    <row r="119" spans="1:6">
      <c r="A119" t="s">
        <v>1194</v>
      </c>
      <c r="B119" t="s">
        <v>396</v>
      </c>
      <c r="C119">
        <f>VLOOKUP(Inv_Master[[#This Row],[التوجية المحاسبي]],'COA_Mtble'!C:D,2,0)</f>
        <v>20</v>
      </c>
      <c r="D119" t="s">
        <v>1168</v>
      </c>
      <c r="E119" t="s">
        <v>1182</v>
      </c>
      <c r="F119">
        <v>80</v>
      </c>
    </row>
    <row r="120" spans="1:6">
      <c r="A120" t="s">
        <v>1381</v>
      </c>
      <c r="B120" t="s">
        <v>408</v>
      </c>
      <c r="C120">
        <f>VLOOKUP(Inv_Master[[#This Row],[التوجية المحاسبي]],'COA_Mtble'!C:D,2,0)</f>
        <v>26</v>
      </c>
      <c r="D120" t="s">
        <v>1382</v>
      </c>
      <c r="E120" t="s">
        <v>1382</v>
      </c>
      <c r="F120">
        <v>108</v>
      </c>
    </row>
    <row r="121" spans="1:6">
      <c r="A121" s="33" t="s">
        <v>1651</v>
      </c>
      <c r="C121" t="e">
        <f>VLOOKUP(Inv_Master[[#This Row],[التوجية المحاسبي]],'COA_Mtble'!C:D,2,0)</f>
        <v>#N/A</v>
      </c>
      <c r="F121">
        <v>115</v>
      </c>
    </row>
    <row r="122" spans="1:6">
      <c r="A122" t="s">
        <v>1252</v>
      </c>
      <c r="B122" t="s">
        <v>398</v>
      </c>
      <c r="C122">
        <f>VLOOKUP(Inv_Master[[#This Row],[التوجية المحاسبي]],'COA_Mtble'!C:D,2,0)</f>
        <v>21</v>
      </c>
      <c r="D122" t="s">
        <v>1163</v>
      </c>
      <c r="E122" t="s">
        <v>1163</v>
      </c>
      <c r="F122">
        <v>103</v>
      </c>
    </row>
    <row r="123" spans="1:6">
      <c r="A123" t="s">
        <v>594</v>
      </c>
      <c r="B123" t="s">
        <v>392</v>
      </c>
      <c r="C123">
        <f>VLOOKUP(Inv_Master[[#This Row],[التوجية المحاسبي]],'COA_Mtble'!C:D,2,0)</f>
        <v>18</v>
      </c>
      <c r="D123" t="s">
        <v>1168</v>
      </c>
      <c r="E123" t="s">
        <v>1171</v>
      </c>
      <c r="F123">
        <v>75</v>
      </c>
    </row>
    <row r="124" spans="1:6">
      <c r="A124" t="s">
        <v>1578</v>
      </c>
      <c r="B124" t="s">
        <v>1588</v>
      </c>
      <c r="C124" t="s">
        <v>1588</v>
      </c>
      <c r="D124" s="23" t="s">
        <v>1587</v>
      </c>
      <c r="E124" s="23" t="s">
        <v>1587</v>
      </c>
      <c r="F124" t="s">
        <v>1164</v>
      </c>
    </row>
    <row r="125" spans="1:6">
      <c r="A125" t="s">
        <v>1411</v>
      </c>
      <c r="B125" t="s">
        <v>392</v>
      </c>
      <c r="C125">
        <f>VLOOKUP(Inv_Master[[#This Row],[التوجية المحاسبي]],'COA_Mtble'!C:D,2,0)</f>
        <v>18</v>
      </c>
      <c r="D125" t="s">
        <v>1382</v>
      </c>
      <c r="E125" t="s">
        <v>1382</v>
      </c>
      <c r="F125">
        <v>107</v>
      </c>
    </row>
    <row r="126" spans="1:6">
      <c r="A126" s="33" t="s">
        <v>1654</v>
      </c>
      <c r="C126" t="e">
        <f>VLOOKUP(Inv_Master[[#This Row],[التوجية المحاسبي]],'COA_Mtble'!C:D,2,0)</f>
        <v>#N/A</v>
      </c>
      <c r="F126">
        <v>120</v>
      </c>
    </row>
    <row r="127" spans="1:6">
      <c r="A127" t="s">
        <v>1352</v>
      </c>
      <c r="B127" t="s">
        <v>404</v>
      </c>
      <c r="C127">
        <f>VLOOKUP(Inv_Master[[#This Row],[التوجية المحاسبي]],'COA_Mtble'!C:D,2,0)</f>
        <v>24</v>
      </c>
      <c r="D127" t="s">
        <v>1163</v>
      </c>
      <c r="E127" t="s">
        <v>1163</v>
      </c>
      <c r="F127">
        <v>103</v>
      </c>
    </row>
    <row r="128" spans="1:6">
      <c r="A128" t="s">
        <v>1410</v>
      </c>
      <c r="B128" t="s">
        <v>400</v>
      </c>
      <c r="C128">
        <f>VLOOKUP(Inv_Master[[#This Row],[التوجية المحاسبي]],'COA_Mtble'!C:D,2,0)</f>
        <v>22</v>
      </c>
      <c r="D128" t="s">
        <v>1382</v>
      </c>
      <c r="E128" t="s">
        <v>1382</v>
      </c>
      <c r="F128">
        <v>108</v>
      </c>
    </row>
    <row r="129" spans="1:6">
      <c r="A129" t="s">
        <v>1346</v>
      </c>
      <c r="B129" t="s">
        <v>400</v>
      </c>
      <c r="C129">
        <f>VLOOKUP(Inv_Master[[#This Row],[التوجية المحاسبي]],'COA_Mtble'!C:D,2,0)</f>
        <v>22</v>
      </c>
      <c r="D129" t="s">
        <v>1168</v>
      </c>
      <c r="E129" t="s">
        <v>1197</v>
      </c>
      <c r="F129">
        <v>85</v>
      </c>
    </row>
    <row r="130" spans="1:6">
      <c r="A130" t="s">
        <v>1399</v>
      </c>
      <c r="B130" t="s">
        <v>420</v>
      </c>
      <c r="C130">
        <f>VLOOKUP(Inv_Master[[#This Row],[التوجية المحاسبي]],'COA_Mtble'!C:D,2,0)</f>
        <v>32</v>
      </c>
      <c r="D130" t="s">
        <v>1382</v>
      </c>
      <c r="E130" t="s">
        <v>1382</v>
      </c>
      <c r="F130" t="s">
        <v>1164</v>
      </c>
    </row>
    <row r="131" spans="1:6">
      <c r="A131" t="s">
        <v>1286</v>
      </c>
      <c r="B131" t="s">
        <v>392</v>
      </c>
      <c r="C131">
        <f>VLOOKUP(Inv_Master[[#This Row],[التوجية المحاسبي]],'COA_Mtble'!C:D,2,0)</f>
        <v>18</v>
      </c>
      <c r="D131" t="s">
        <v>1203</v>
      </c>
      <c r="E131" t="s">
        <v>1203</v>
      </c>
      <c r="F131">
        <v>87</v>
      </c>
    </row>
    <row r="132" spans="1:6">
      <c r="A132" t="s">
        <v>1695</v>
      </c>
      <c r="C132" t="e">
        <f>VLOOKUP(Inv_Master[[#This Row],[التوجية المحاسبي]],'COA_Mtble'!C:D,2,0)</f>
        <v>#N/A</v>
      </c>
      <c r="F132" t="s">
        <v>1164</v>
      </c>
    </row>
    <row r="133" spans="1:6">
      <c r="A133" t="s">
        <v>1275</v>
      </c>
      <c r="B133" t="s">
        <v>414</v>
      </c>
      <c r="C133">
        <f>VLOOKUP(Inv_Master[[#This Row],[التوجية المحاسبي]],'COA_Mtble'!C:D,2,0)</f>
        <v>29</v>
      </c>
      <c r="D133" t="s">
        <v>1184</v>
      </c>
      <c r="E133" t="s">
        <v>1184</v>
      </c>
      <c r="F133">
        <v>74</v>
      </c>
    </row>
    <row r="134" spans="1:6">
      <c r="A134" t="s">
        <v>621</v>
      </c>
      <c r="B134" t="s">
        <v>392</v>
      </c>
      <c r="C134">
        <f>VLOOKUP(Inv_Master[[#This Row],[التوجية المحاسبي]],'COA_Mtble'!C:D,2,0)</f>
        <v>18</v>
      </c>
      <c r="D134" t="s">
        <v>1166</v>
      </c>
      <c r="E134" t="s">
        <v>1203</v>
      </c>
      <c r="F134">
        <v>86</v>
      </c>
    </row>
    <row r="135" spans="1:6">
      <c r="A135" s="33" t="s">
        <v>1662</v>
      </c>
      <c r="C135" t="e">
        <f>VLOOKUP(Inv_Master[[#This Row],[التوجية المحاسبي]],'COA_Mtble'!C:D,2,0)</f>
        <v>#N/A</v>
      </c>
      <c r="F135">
        <v>116</v>
      </c>
    </row>
    <row r="136" spans="1:6">
      <c r="A136" t="s">
        <v>1583</v>
      </c>
      <c r="B136" t="s">
        <v>432</v>
      </c>
      <c r="C136">
        <f>VLOOKUP(Inv_Master[[#This Row],[التوجية المحاسبي]],'COA_Mtble'!C:D,2,0)</f>
        <v>38</v>
      </c>
      <c r="D136" s="23" t="s">
        <v>1587</v>
      </c>
      <c r="E136" s="23" t="s">
        <v>1587</v>
      </c>
      <c r="F136" t="s">
        <v>1273</v>
      </c>
    </row>
    <row r="137" spans="1:6">
      <c r="A137" t="s">
        <v>1329</v>
      </c>
      <c r="B137" t="s">
        <v>406</v>
      </c>
      <c r="C137">
        <f>VLOOKUP(Inv_Master[[#This Row],[التوجية المحاسبي]],'COA_Mtble'!C:D,2,0)</f>
        <v>25</v>
      </c>
      <c r="D137" t="s">
        <v>1168</v>
      </c>
      <c r="E137" t="s">
        <v>1197</v>
      </c>
      <c r="F137">
        <v>85</v>
      </c>
    </row>
    <row r="138" spans="1:6">
      <c r="A138" t="s">
        <v>1334</v>
      </c>
      <c r="B138" t="s">
        <v>400</v>
      </c>
      <c r="C138">
        <f>VLOOKUP(Inv_Master[[#This Row],[التوجية المحاسبي]],'COA_Mtble'!C:D,2,0)</f>
        <v>22</v>
      </c>
      <c r="D138" t="s">
        <v>1173</v>
      </c>
      <c r="E138" t="s">
        <v>1173</v>
      </c>
      <c r="F138">
        <v>69</v>
      </c>
    </row>
    <row r="139" spans="1:6">
      <c r="A139" s="33" t="s">
        <v>1650</v>
      </c>
      <c r="C139" t="e">
        <f>VLOOKUP(Inv_Master[[#This Row],[التوجية المحاسبي]],'COA_Mtble'!C:D,2,0)</f>
        <v>#N/A</v>
      </c>
      <c r="F139">
        <v>118</v>
      </c>
    </row>
    <row r="140" spans="1:6">
      <c r="A140" t="s">
        <v>1413</v>
      </c>
      <c r="B140" t="s">
        <v>392</v>
      </c>
      <c r="C140">
        <f>VLOOKUP(Inv_Master[[#This Row],[التوجية المحاسبي]],'COA_Mtble'!C:D,2,0)</f>
        <v>18</v>
      </c>
      <c r="D140" t="s">
        <v>1382</v>
      </c>
      <c r="E140" t="s">
        <v>1382</v>
      </c>
      <c r="F140">
        <v>108</v>
      </c>
    </row>
    <row r="141" spans="1:6">
      <c r="A141" s="33" t="s">
        <v>1630</v>
      </c>
      <c r="C141" t="e">
        <f>VLOOKUP(Inv_Master[[#This Row],[التوجية المحاسبي]],'COA_Mtble'!C:D,2,0)</f>
        <v>#N/A</v>
      </c>
      <c r="F141" s="33">
        <v>119</v>
      </c>
    </row>
    <row r="142" spans="1:6">
      <c r="A142" t="s">
        <v>1536</v>
      </c>
      <c r="B142" t="s">
        <v>406</v>
      </c>
      <c r="C142">
        <f>VLOOKUP(Inv_Master[[#This Row],[التوجية المحاسبي]],'COA_Mtble'!C:D,2,0)</f>
        <v>25</v>
      </c>
      <c r="D142" s="23" t="s">
        <v>1440</v>
      </c>
      <c r="E142" s="23" t="s">
        <v>1440</v>
      </c>
      <c r="F142">
        <v>113</v>
      </c>
    </row>
    <row r="143" spans="1:6">
      <c r="A143" t="s">
        <v>1223</v>
      </c>
      <c r="B143" t="s">
        <v>358</v>
      </c>
      <c r="C143">
        <f>VLOOKUP(Inv_Master[[#This Row],[التوجية المحاسبي]],'COA_Mtble'!C:D,2,0)</f>
        <v>1</v>
      </c>
      <c r="D143" t="s">
        <v>1173</v>
      </c>
      <c r="E143" t="s">
        <v>1173</v>
      </c>
      <c r="F143">
        <v>4</v>
      </c>
    </row>
    <row r="144" spans="1:6">
      <c r="A144" t="s">
        <v>1403</v>
      </c>
      <c r="B144" t="s">
        <v>402</v>
      </c>
      <c r="C144">
        <f>VLOOKUP(Inv_Master[[#This Row],[التوجية المحاسبي]],'COA_Mtble'!C:D,2,0)</f>
        <v>23</v>
      </c>
      <c r="D144" t="s">
        <v>1382</v>
      </c>
      <c r="E144" t="s">
        <v>1382</v>
      </c>
      <c r="F144">
        <v>108</v>
      </c>
    </row>
    <row r="145" spans="1:6">
      <c r="A145" t="s">
        <v>1385</v>
      </c>
      <c r="B145" t="s">
        <v>402</v>
      </c>
      <c r="C145">
        <f>VLOOKUP(Inv_Master[[#This Row],[التوجية المحاسبي]],'COA_Mtble'!C:D,2,0)</f>
        <v>23</v>
      </c>
      <c r="D145" t="s">
        <v>1382</v>
      </c>
      <c r="E145" t="s">
        <v>1382</v>
      </c>
      <c r="F145">
        <v>108</v>
      </c>
    </row>
    <row r="146" spans="1:6">
      <c r="A146" t="s">
        <v>1313</v>
      </c>
      <c r="B146" t="s">
        <v>1175</v>
      </c>
      <c r="C146" t="s">
        <v>1175</v>
      </c>
      <c r="D146" t="s">
        <v>1175</v>
      </c>
      <c r="E146" t="s">
        <v>1175</v>
      </c>
      <c r="F146" t="s">
        <v>1164</v>
      </c>
    </row>
    <row r="147" spans="1:6">
      <c r="A147" t="s">
        <v>1231</v>
      </c>
      <c r="B147" t="s">
        <v>408</v>
      </c>
      <c r="C147">
        <f>VLOOKUP(Inv_Master[[#This Row],[التوجية المحاسبي]],'COA_Mtble'!C:D,2,0)</f>
        <v>26</v>
      </c>
      <c r="D147" t="s">
        <v>1182</v>
      </c>
      <c r="E147" t="s">
        <v>1182</v>
      </c>
      <c r="F147">
        <v>78</v>
      </c>
    </row>
    <row r="148" spans="1:6">
      <c r="A148" t="s">
        <v>1349</v>
      </c>
      <c r="B148" t="s">
        <v>400</v>
      </c>
      <c r="C148">
        <f>VLOOKUP(Inv_Master[[#This Row],[التوجية المحاسبي]],'COA_Mtble'!C:D,2,0)</f>
        <v>22</v>
      </c>
      <c r="D148" t="s">
        <v>1168</v>
      </c>
      <c r="E148" t="s">
        <v>1191</v>
      </c>
      <c r="F148">
        <v>82</v>
      </c>
    </row>
    <row r="149" spans="1:6">
      <c r="A149" t="s">
        <v>1188</v>
      </c>
      <c r="B149" t="s">
        <v>358</v>
      </c>
      <c r="C149">
        <f>VLOOKUP(Inv_Master[[#This Row],[التوجية المحاسبي]],'COA_Mtble'!C:D,2,0)</f>
        <v>1</v>
      </c>
      <c r="D149" t="s">
        <v>1173</v>
      </c>
      <c r="E149" t="s">
        <v>1173</v>
      </c>
      <c r="F149">
        <v>39</v>
      </c>
    </row>
    <row r="150" spans="1:6">
      <c r="A150" t="s">
        <v>1183</v>
      </c>
      <c r="B150" t="s">
        <v>406</v>
      </c>
      <c r="C150">
        <f>VLOOKUP(Inv_Master[[#This Row],[التوجية المحاسبي]],'COA_Mtble'!C:D,2,0)</f>
        <v>25</v>
      </c>
      <c r="D150" t="s">
        <v>1184</v>
      </c>
      <c r="E150" t="s">
        <v>1184</v>
      </c>
      <c r="F150">
        <v>74</v>
      </c>
    </row>
    <row r="151" spans="1:6">
      <c r="A151" s="33" t="s">
        <v>1665</v>
      </c>
      <c r="C151" t="e">
        <f>VLOOKUP(Inv_Master[[#This Row],[التوجية المحاسبي]],'COA_Mtble'!C:D,2,0)</f>
        <v>#N/A</v>
      </c>
      <c r="F151">
        <v>115</v>
      </c>
    </row>
    <row r="152" spans="1:6">
      <c r="A152" t="s">
        <v>642</v>
      </c>
      <c r="B152" t="s">
        <v>392</v>
      </c>
      <c r="C152">
        <f>VLOOKUP(Inv_Master[[#This Row],[التوجية المحاسبي]],'COA_Mtble'!C:D,2,0)</f>
        <v>18</v>
      </c>
      <c r="D152" t="s">
        <v>1163</v>
      </c>
      <c r="E152" t="s">
        <v>1201</v>
      </c>
      <c r="F152">
        <v>93</v>
      </c>
    </row>
    <row r="153" spans="1:6">
      <c r="A153" t="s">
        <v>1302</v>
      </c>
      <c r="B153" t="s">
        <v>392</v>
      </c>
      <c r="C153">
        <f>VLOOKUP(Inv_Master[[#This Row],[التوجية المحاسبي]],'COA_Mtble'!C:D,2,0)</f>
        <v>18</v>
      </c>
      <c r="D153" t="s">
        <v>1169</v>
      </c>
      <c r="E153" t="s">
        <v>1169</v>
      </c>
      <c r="F153">
        <v>80</v>
      </c>
    </row>
    <row r="154" spans="1:6">
      <c r="A154" s="33" t="s">
        <v>1663</v>
      </c>
      <c r="C154" t="e">
        <f>VLOOKUP(Inv_Master[[#This Row],[التوجية المحاسبي]],'COA_Mtble'!C:D,2,0)</f>
        <v>#N/A</v>
      </c>
      <c r="F154" t="s">
        <v>1164</v>
      </c>
    </row>
    <row r="155" spans="1:6">
      <c r="A155" t="s">
        <v>1279</v>
      </c>
      <c r="B155" t="s">
        <v>392</v>
      </c>
      <c r="C155">
        <f>VLOOKUP(Inv_Master[[#This Row],[التوجية المحاسبي]],'COA_Mtble'!C:D,2,0)</f>
        <v>18</v>
      </c>
      <c r="D155" t="s">
        <v>1163</v>
      </c>
      <c r="E155" t="s">
        <v>1201</v>
      </c>
      <c r="F155">
        <v>90</v>
      </c>
    </row>
    <row r="156" spans="1:6">
      <c r="A156" t="s">
        <v>1575</v>
      </c>
      <c r="B156" t="s">
        <v>400</v>
      </c>
      <c r="C156">
        <f>VLOOKUP(Inv_Master[[#This Row],[التوجية المحاسبي]],'COA_Mtble'!C:D,2,0)</f>
        <v>22</v>
      </c>
      <c r="D156" s="23" t="s">
        <v>1587</v>
      </c>
      <c r="E156" s="23" t="s">
        <v>1587</v>
      </c>
      <c r="F156">
        <v>113</v>
      </c>
    </row>
    <row r="157" spans="1:6">
      <c r="A157" s="33" t="s">
        <v>1641</v>
      </c>
      <c r="C157" t="e">
        <f>VLOOKUP(Inv_Master[[#This Row],[التوجية المحاسبي]],'COA_Mtble'!C:D,2,0)</f>
        <v>#N/A</v>
      </c>
      <c r="F157">
        <v>115</v>
      </c>
    </row>
    <row r="158" spans="1:6">
      <c r="A158" t="s">
        <v>1397</v>
      </c>
      <c r="B158" t="s">
        <v>406</v>
      </c>
      <c r="C158">
        <f>VLOOKUP(Inv_Master[[#This Row],[التوجية المحاسبي]],'COA_Mtble'!C:D,2,0)</f>
        <v>25</v>
      </c>
      <c r="D158" t="s">
        <v>1355</v>
      </c>
      <c r="E158" t="s">
        <v>1355</v>
      </c>
      <c r="F158">
        <v>107</v>
      </c>
    </row>
    <row r="159" spans="1:6">
      <c r="A159" t="s">
        <v>601</v>
      </c>
      <c r="B159" t="s">
        <v>392</v>
      </c>
      <c r="C159">
        <f>VLOOKUP(Inv_Master[[#This Row],[التوجية المحاسبي]],'COA_Mtble'!C:D,2,0)</f>
        <v>18</v>
      </c>
      <c r="D159" t="s">
        <v>1168</v>
      </c>
      <c r="E159" t="s">
        <v>1182</v>
      </c>
      <c r="F159">
        <v>78</v>
      </c>
    </row>
    <row r="160" spans="1:6">
      <c r="A160" t="s">
        <v>1257</v>
      </c>
      <c r="B160" t="s">
        <v>414</v>
      </c>
      <c r="C160">
        <f>VLOOKUP(Inv_Master[[#This Row],[التوجية المحاسبي]],'COA_Mtble'!C:D,2,0)</f>
        <v>29</v>
      </c>
      <c r="D160" t="s">
        <v>1168</v>
      </c>
      <c r="E160" t="s">
        <v>1171</v>
      </c>
      <c r="F160">
        <v>77</v>
      </c>
    </row>
    <row r="161" spans="1:6">
      <c r="A161" t="s">
        <v>1387</v>
      </c>
      <c r="B161" t="s">
        <v>398</v>
      </c>
      <c r="C161">
        <f>VLOOKUP(Inv_Master[[#This Row],[التوجية المحاسبي]],'COA_Mtble'!C:D,2,0)</f>
        <v>21</v>
      </c>
      <c r="D161" t="s">
        <v>1382</v>
      </c>
      <c r="E161" t="s">
        <v>1382</v>
      </c>
      <c r="F161">
        <v>108</v>
      </c>
    </row>
    <row r="162" spans="1:6">
      <c r="A162" t="s">
        <v>1177</v>
      </c>
      <c r="B162" t="s">
        <v>398</v>
      </c>
      <c r="C162">
        <f>VLOOKUP(Inv_Master[[#This Row],[التوجية المحاسبي]],'COA_Mtble'!C:D,2,0)</f>
        <v>21</v>
      </c>
      <c r="D162" t="s">
        <v>1168</v>
      </c>
      <c r="E162" t="s">
        <v>1178</v>
      </c>
      <c r="F162">
        <v>96</v>
      </c>
    </row>
    <row r="163" spans="1:6">
      <c r="A163" t="s">
        <v>652</v>
      </c>
      <c r="B163" t="s">
        <v>392</v>
      </c>
      <c r="C163">
        <f>VLOOKUP(Inv_Master[[#This Row],[التوجية المحاسبي]],'COA_Mtble'!C:D,2,0)</f>
        <v>18</v>
      </c>
      <c r="D163" t="s">
        <v>1163</v>
      </c>
      <c r="E163" t="s">
        <v>1178</v>
      </c>
      <c r="F163">
        <v>96</v>
      </c>
    </row>
    <row r="164" spans="1:6">
      <c r="A164" s="33" t="s">
        <v>1635</v>
      </c>
      <c r="C164" t="e">
        <f>VLOOKUP(Inv_Master[[#This Row],[التوجية المحاسبي]],'COA_Mtble'!C:D,2,0)</f>
        <v>#N/A</v>
      </c>
      <c r="F164">
        <v>117</v>
      </c>
    </row>
    <row r="165" spans="1:6">
      <c r="A165" t="s">
        <v>1215</v>
      </c>
      <c r="B165" t="s">
        <v>396</v>
      </c>
      <c r="C165">
        <f>VLOOKUP(Inv_Master[[#This Row],[التوجية المحاسبي]],'COA_Mtble'!C:D,2,0)</f>
        <v>20</v>
      </c>
      <c r="D165" t="s">
        <v>1168</v>
      </c>
      <c r="E165" t="s">
        <v>1197</v>
      </c>
      <c r="F165" t="s">
        <v>1216</v>
      </c>
    </row>
    <row r="166" spans="1:6">
      <c r="A166" t="s">
        <v>1332</v>
      </c>
      <c r="B166" t="s">
        <v>1175</v>
      </c>
      <c r="C166" t="s">
        <v>1175</v>
      </c>
      <c r="D166" t="s">
        <v>1175</v>
      </c>
      <c r="E166" t="s">
        <v>1175</v>
      </c>
      <c r="F166" t="s">
        <v>1164</v>
      </c>
    </row>
    <row r="167" spans="1:6">
      <c r="A167" t="s">
        <v>1274</v>
      </c>
      <c r="B167" t="s">
        <v>414</v>
      </c>
      <c r="C167">
        <f>VLOOKUP(Inv_Master[[#This Row],[التوجية المحاسبي]],'COA_Mtble'!C:D,2,0)</f>
        <v>29</v>
      </c>
      <c r="D167" t="s">
        <v>1168</v>
      </c>
      <c r="E167" t="s">
        <v>1266</v>
      </c>
      <c r="F167">
        <v>84</v>
      </c>
    </row>
    <row r="168" spans="1:6">
      <c r="A168" t="s">
        <v>662</v>
      </c>
      <c r="B168" t="s">
        <v>392</v>
      </c>
      <c r="C168">
        <f>VLOOKUP(Inv_Master[[#This Row],[التوجية المحاسبي]],'COA_Mtble'!C:D,2,0)</f>
        <v>18</v>
      </c>
      <c r="D168" t="s">
        <v>1163</v>
      </c>
      <c r="E168" t="s">
        <v>1163</v>
      </c>
      <c r="F168">
        <v>104</v>
      </c>
    </row>
    <row r="169" spans="1:6">
      <c r="A169" t="s">
        <v>1289</v>
      </c>
      <c r="B169" t="s">
        <v>392</v>
      </c>
      <c r="C169">
        <f>VLOOKUP(Inv_Master[[#This Row],[التوجية المحاسبي]],'COA_Mtble'!C:D,2,0)</f>
        <v>18</v>
      </c>
      <c r="D169" t="s">
        <v>1173</v>
      </c>
      <c r="E169" t="s">
        <v>1173</v>
      </c>
      <c r="F169">
        <v>70</v>
      </c>
    </row>
    <row r="170" spans="1:6">
      <c r="A170" t="s">
        <v>1290</v>
      </c>
      <c r="B170" t="s">
        <v>392</v>
      </c>
      <c r="C170">
        <f>VLOOKUP(Inv_Master[[#This Row],[التوجية المحاسبي]],'COA_Mtble'!C:D,2,0)</f>
        <v>18</v>
      </c>
      <c r="D170" t="s">
        <v>1168</v>
      </c>
      <c r="E170" t="s">
        <v>1266</v>
      </c>
      <c r="F170">
        <v>84</v>
      </c>
    </row>
    <row r="171" spans="1:6">
      <c r="A171" t="s">
        <v>1283</v>
      </c>
      <c r="B171" t="s">
        <v>392</v>
      </c>
      <c r="C171">
        <f>VLOOKUP(Inv_Master[[#This Row],[التوجية المحاسبي]],'COA_Mtble'!C:D,2,0)</f>
        <v>18</v>
      </c>
      <c r="D171" t="s">
        <v>1203</v>
      </c>
      <c r="E171" t="s">
        <v>1203</v>
      </c>
      <c r="F171">
        <v>86</v>
      </c>
    </row>
    <row r="172" spans="1:6">
      <c r="A172" t="s">
        <v>1375</v>
      </c>
      <c r="B172" t="s">
        <v>402</v>
      </c>
      <c r="C172">
        <f>VLOOKUP(Inv_Master[[#This Row],[التوجية المحاسبي]],'COA_Mtble'!C:D,2,0)</f>
        <v>23</v>
      </c>
      <c r="D172" t="s">
        <v>1355</v>
      </c>
      <c r="E172" t="s">
        <v>1355</v>
      </c>
      <c r="F172">
        <v>108</v>
      </c>
    </row>
    <row r="173" spans="1:6">
      <c r="A173" s="33" t="s">
        <v>1648</v>
      </c>
      <c r="C173" t="e">
        <f>VLOOKUP(Inv_Master[[#This Row],[التوجية المحاسبي]],'COA_Mtble'!C:D,2,0)</f>
        <v>#N/A</v>
      </c>
      <c r="F173">
        <v>118</v>
      </c>
    </row>
    <row r="174" spans="1:6">
      <c r="A174" t="s">
        <v>1306</v>
      </c>
      <c r="B174" t="s">
        <v>392</v>
      </c>
      <c r="C174">
        <f>VLOOKUP(Inv_Master[[#This Row],[التوجية المحاسبي]],'COA_Mtble'!C:D,2,0)</f>
        <v>18</v>
      </c>
      <c r="D174" t="s">
        <v>1244</v>
      </c>
      <c r="E174" t="s">
        <v>1244</v>
      </c>
      <c r="F174">
        <v>71</v>
      </c>
    </row>
    <row r="175" spans="1:6">
      <c r="A175" s="33" t="s">
        <v>1642</v>
      </c>
      <c r="C175" t="e">
        <f>VLOOKUP(Inv_Master[[#This Row],[التوجية المحاسبي]],'COA_Mtble'!C:D,2,0)</f>
        <v>#N/A</v>
      </c>
      <c r="F175">
        <v>115</v>
      </c>
    </row>
    <row r="176" spans="1:6">
      <c r="A176" t="s">
        <v>1378</v>
      </c>
      <c r="B176" t="s">
        <v>396</v>
      </c>
      <c r="C176">
        <f>VLOOKUP(Inv_Master[[#This Row],[التوجية المحاسبي]],'COA_Mtble'!C:D,2,0)</f>
        <v>20</v>
      </c>
      <c r="D176" t="s">
        <v>1355</v>
      </c>
      <c r="E176" t="s">
        <v>1355</v>
      </c>
      <c r="F176">
        <v>110</v>
      </c>
    </row>
    <row r="177" spans="1:6">
      <c r="A177" t="s">
        <v>670</v>
      </c>
      <c r="B177" t="s">
        <v>392</v>
      </c>
      <c r="C177">
        <f>VLOOKUP(Inv_Master[[#This Row],[التوجية المحاسبي]],'COA_Mtble'!C:D,2,0)</f>
        <v>18</v>
      </c>
      <c r="D177" t="s">
        <v>1355</v>
      </c>
      <c r="E177" t="s">
        <v>1355</v>
      </c>
      <c r="F177">
        <v>107</v>
      </c>
    </row>
    <row r="178" spans="1:6">
      <c r="A178" s="33" t="s">
        <v>1631</v>
      </c>
      <c r="C178" t="e">
        <f>VLOOKUP(Inv_Master[[#This Row],[التوجية المحاسبي]],'COA_Mtble'!C:D,2,0)</f>
        <v>#N/A</v>
      </c>
      <c r="F178">
        <v>115</v>
      </c>
    </row>
    <row r="179" spans="1:6">
      <c r="A179" s="33" t="s">
        <v>1668</v>
      </c>
      <c r="C179" t="e">
        <f>VLOOKUP(Inv_Master[[#This Row],[التوجية المحاسبي]],'COA_Mtble'!C:D,2,0)</f>
        <v>#N/A</v>
      </c>
      <c r="F179">
        <v>115</v>
      </c>
    </row>
    <row r="180" spans="1:6">
      <c r="A180" t="s">
        <v>1185</v>
      </c>
      <c r="B180" t="s">
        <v>406</v>
      </c>
      <c r="C180">
        <f>VLOOKUP(Inv_Master[[#This Row],[التوجية المحاسبي]],'COA_Mtble'!C:D,2,0)</f>
        <v>25</v>
      </c>
      <c r="D180" t="s">
        <v>1184</v>
      </c>
      <c r="E180" t="s">
        <v>1184</v>
      </c>
      <c r="F180">
        <v>74</v>
      </c>
    </row>
    <row r="181" spans="1:6">
      <c r="A181" t="s">
        <v>1172</v>
      </c>
      <c r="B181" t="s">
        <v>420</v>
      </c>
      <c r="C181">
        <f>VLOOKUP(Inv_Master[[#This Row],[التوجية المحاسبي]],'COA_Mtble'!C:D,2,0)</f>
        <v>32</v>
      </c>
      <c r="D181" t="s">
        <v>1173</v>
      </c>
      <c r="E181" t="s">
        <v>1173</v>
      </c>
      <c r="F181" t="s">
        <v>1164</v>
      </c>
    </row>
    <row r="182" spans="1:6">
      <c r="A182" s="33" t="s">
        <v>1658</v>
      </c>
      <c r="C182" t="e">
        <f>VLOOKUP(Inv_Master[[#This Row],[التوجية المحاسبي]],'COA_Mtble'!C:D,2,0)</f>
        <v>#N/A</v>
      </c>
      <c r="F182">
        <v>120</v>
      </c>
    </row>
    <row r="183" spans="1:6">
      <c r="A183" t="s">
        <v>1206</v>
      </c>
      <c r="B183" t="s">
        <v>414</v>
      </c>
      <c r="C183">
        <f>VLOOKUP(Inv_Master[[#This Row],[التوجية المحاسبي]],'COA_Mtble'!C:D,2,0)</f>
        <v>29</v>
      </c>
      <c r="D183" t="s">
        <v>1168</v>
      </c>
      <c r="E183" t="s">
        <v>1201</v>
      </c>
      <c r="F183">
        <v>86</v>
      </c>
    </row>
    <row r="184" spans="1:6">
      <c r="A184" t="s">
        <v>1202</v>
      </c>
      <c r="B184" t="s">
        <v>398</v>
      </c>
      <c r="C184">
        <f>VLOOKUP(Inv_Master[[#This Row],[التوجية المحاسبي]],'COA_Mtble'!C:D,2,0)</f>
        <v>21</v>
      </c>
      <c r="D184" t="s">
        <v>1168</v>
      </c>
      <c r="E184" t="s">
        <v>1203</v>
      </c>
      <c r="F184">
        <v>92</v>
      </c>
    </row>
    <row r="185" spans="1:6">
      <c r="A185" t="s">
        <v>1354</v>
      </c>
      <c r="B185" t="s">
        <v>404</v>
      </c>
      <c r="C185">
        <f>VLOOKUP(Inv_Master[[#This Row],[التوجية المحاسبي]],'COA_Mtble'!C:D,2,0)</f>
        <v>24</v>
      </c>
      <c r="D185" t="s">
        <v>1355</v>
      </c>
      <c r="E185" t="s">
        <v>1355</v>
      </c>
      <c r="F185">
        <v>109</v>
      </c>
    </row>
    <row r="186" spans="1:6">
      <c r="A186" t="s">
        <v>1412</v>
      </c>
      <c r="B186" t="s">
        <v>402</v>
      </c>
      <c r="C186">
        <f>VLOOKUP(Inv_Master[[#This Row],[التوجية المحاسبي]],'COA_Mtble'!C:D,2,0)</f>
        <v>23</v>
      </c>
      <c r="D186" t="s">
        <v>1382</v>
      </c>
      <c r="E186" t="s">
        <v>1382</v>
      </c>
      <c r="F186">
        <v>108</v>
      </c>
    </row>
    <row r="187" spans="1:6">
      <c r="A187" t="s">
        <v>1585</v>
      </c>
      <c r="B187" t="s">
        <v>432</v>
      </c>
      <c r="C187">
        <f>VLOOKUP(Inv_Master[[#This Row],[التوجية المحاسبي]],'COA_Mtble'!C:D,2,0)</f>
        <v>38</v>
      </c>
      <c r="D187" s="23" t="s">
        <v>1587</v>
      </c>
      <c r="E187" s="23" t="s">
        <v>1587</v>
      </c>
      <c r="F187" t="s">
        <v>1273</v>
      </c>
    </row>
    <row r="188" spans="1:6">
      <c r="A188" t="s">
        <v>1249</v>
      </c>
      <c r="B188" t="s">
        <v>358</v>
      </c>
      <c r="C188">
        <f>VLOOKUP(Inv_Master[[#This Row],[التوجية المحاسبي]],'COA_Mtble'!C:D,2,0)</f>
        <v>1</v>
      </c>
      <c r="D188" t="s">
        <v>1173</v>
      </c>
      <c r="E188" t="s">
        <v>1173</v>
      </c>
      <c r="F188">
        <v>65</v>
      </c>
    </row>
    <row r="189" spans="1:6">
      <c r="A189" t="s">
        <v>1445</v>
      </c>
      <c r="B189" t="s">
        <v>392</v>
      </c>
      <c r="C189">
        <f>VLOOKUP(Inv_Master[[#This Row],[التوجية المحاسبي]],'COA_Mtble'!C:D,2,0)</f>
        <v>18</v>
      </c>
      <c r="D189" s="23" t="s">
        <v>1440</v>
      </c>
      <c r="E189" s="23" t="s">
        <v>1440</v>
      </c>
      <c r="F189">
        <v>112</v>
      </c>
    </row>
    <row r="190" spans="1:6">
      <c r="A190" t="s">
        <v>1393</v>
      </c>
      <c r="B190" t="s">
        <v>396</v>
      </c>
      <c r="C190">
        <f>VLOOKUP(Inv_Master[[#This Row],[التوجية المحاسبي]],'COA_Mtble'!C:D,2,0)</f>
        <v>20</v>
      </c>
      <c r="D190" t="s">
        <v>1355</v>
      </c>
      <c r="E190" t="s">
        <v>1355</v>
      </c>
      <c r="F190">
        <v>108</v>
      </c>
    </row>
    <row r="191" spans="1:6">
      <c r="A191" t="s">
        <v>1331</v>
      </c>
      <c r="B191" t="s">
        <v>400</v>
      </c>
      <c r="C191">
        <f>VLOOKUP(Inv_Master[[#This Row],[التوجية المحاسبي]],'COA_Mtble'!C:D,2,0)</f>
        <v>22</v>
      </c>
      <c r="D191" t="s">
        <v>1168</v>
      </c>
      <c r="E191" t="s">
        <v>1191</v>
      </c>
      <c r="F191">
        <v>82</v>
      </c>
    </row>
    <row r="192" spans="1:6">
      <c r="A192" t="s">
        <v>1361</v>
      </c>
      <c r="B192" t="s">
        <v>400</v>
      </c>
      <c r="C192">
        <f>VLOOKUP(Inv_Master[[#This Row],[التوجية المحاسبي]],'COA_Mtble'!C:D,2,0)</f>
        <v>22</v>
      </c>
      <c r="D192" t="s">
        <v>1292</v>
      </c>
      <c r="E192" t="s">
        <v>1292</v>
      </c>
      <c r="F192">
        <v>105</v>
      </c>
    </row>
    <row r="193" spans="1:6">
      <c r="A193" t="s">
        <v>1280</v>
      </c>
      <c r="B193" t="s">
        <v>392</v>
      </c>
      <c r="C193">
        <f>VLOOKUP(Inv_Master[[#This Row],[التوجية المحاسبي]],'COA_Mtble'!C:D,2,0)</f>
        <v>18</v>
      </c>
      <c r="D193" t="s">
        <v>1166</v>
      </c>
      <c r="E193" t="s">
        <v>1201</v>
      </c>
      <c r="F193">
        <v>88</v>
      </c>
    </row>
    <row r="194" spans="1:6">
      <c r="A194" t="s">
        <v>1314</v>
      </c>
      <c r="B194" t="s">
        <v>396</v>
      </c>
      <c r="C194">
        <f>VLOOKUP(Inv_Master[[#This Row],[التوجية المحاسبي]],'COA_Mtble'!C:D,2,0)</f>
        <v>20</v>
      </c>
      <c r="D194" t="s">
        <v>1168</v>
      </c>
      <c r="E194" t="s">
        <v>1178</v>
      </c>
      <c r="F194">
        <v>93</v>
      </c>
    </row>
    <row r="195" spans="1:6">
      <c r="A195" t="s">
        <v>618</v>
      </c>
      <c r="B195" t="s">
        <v>392</v>
      </c>
      <c r="C195">
        <f>VLOOKUP(Inv_Master[[#This Row],[التوجية المحاسبي]],'COA_Mtble'!C:D,2,0)</f>
        <v>18</v>
      </c>
      <c r="D195" t="s">
        <v>1168</v>
      </c>
      <c r="E195" t="s">
        <v>1203</v>
      </c>
      <c r="F195">
        <v>85</v>
      </c>
    </row>
    <row r="196" spans="1:6">
      <c r="A196" t="s">
        <v>1414</v>
      </c>
      <c r="B196" t="s">
        <v>396</v>
      </c>
      <c r="C196">
        <f>VLOOKUP(Inv_Master[[#This Row],[التوجية المحاسبي]],'COA_Mtble'!C:D,2,0)</f>
        <v>20</v>
      </c>
      <c r="D196" t="s">
        <v>1382</v>
      </c>
      <c r="E196" t="s">
        <v>1382</v>
      </c>
      <c r="F196">
        <v>108</v>
      </c>
    </row>
    <row r="197" spans="1:6">
      <c r="A197" t="s">
        <v>647</v>
      </c>
      <c r="B197" t="s">
        <v>392</v>
      </c>
      <c r="C197">
        <f>VLOOKUP(Inv_Master[[#This Row],[التوجية المحاسبي]],'COA_Mtble'!C:D,2,0)</f>
        <v>18</v>
      </c>
      <c r="D197" t="s">
        <v>1163</v>
      </c>
      <c r="E197" t="s">
        <v>1178</v>
      </c>
      <c r="F197">
        <v>94</v>
      </c>
    </row>
    <row r="198" spans="1:6">
      <c r="A198" t="s">
        <v>1321</v>
      </c>
      <c r="B198" t="s">
        <v>400</v>
      </c>
      <c r="C198">
        <f>VLOOKUP(Inv_Master[[#This Row],[التوجية المحاسبي]],'COA_Mtble'!C:D,2,0)</f>
        <v>22</v>
      </c>
      <c r="D198" t="s">
        <v>1168</v>
      </c>
      <c r="E198" t="s">
        <v>1171</v>
      </c>
      <c r="F198">
        <v>75</v>
      </c>
    </row>
    <row r="199" spans="1:6">
      <c r="A199" t="s">
        <v>629</v>
      </c>
      <c r="B199" t="s">
        <v>392</v>
      </c>
      <c r="C199">
        <f>VLOOKUP(Inv_Master[[#This Row],[التوجية المحاسبي]],'COA_Mtble'!C:D,2,0)</f>
        <v>18</v>
      </c>
      <c r="D199" t="s">
        <v>1163</v>
      </c>
      <c r="E199" t="s">
        <v>1178</v>
      </c>
      <c r="F199">
        <v>88</v>
      </c>
    </row>
    <row r="200" spans="1:6">
      <c r="A200" s="33" t="s">
        <v>1664</v>
      </c>
      <c r="C200" t="e">
        <f>VLOOKUP(Inv_Master[[#This Row],[التوجية المحاسبي]],'COA_Mtble'!C:D,2,0)</f>
        <v>#N/A</v>
      </c>
      <c r="F200">
        <v>115</v>
      </c>
    </row>
    <row r="201" spans="1:6">
      <c r="A201" t="s">
        <v>1394</v>
      </c>
      <c r="B201" t="s">
        <v>396</v>
      </c>
      <c r="C201">
        <f>VLOOKUP(Inv_Master[[#This Row],[التوجية المحاسبي]],'COA_Mtble'!C:D,2,0)</f>
        <v>20</v>
      </c>
      <c r="D201" t="s">
        <v>1355</v>
      </c>
      <c r="E201" t="s">
        <v>1355</v>
      </c>
      <c r="F201">
        <v>108</v>
      </c>
    </row>
    <row r="202" spans="1:6">
      <c r="A202" t="s">
        <v>1390</v>
      </c>
      <c r="B202" t="s">
        <v>396</v>
      </c>
      <c r="C202">
        <f>VLOOKUP(Inv_Master[[#This Row],[التوجية المحاسبي]],'COA_Mtble'!C:D,2,0)</f>
        <v>20</v>
      </c>
      <c r="D202" t="s">
        <v>1382</v>
      </c>
      <c r="E202" t="s">
        <v>1382</v>
      </c>
      <c r="F202">
        <v>108</v>
      </c>
    </row>
    <row r="203" spans="1:6">
      <c r="A203" t="s">
        <v>1192</v>
      </c>
      <c r="B203" t="s">
        <v>402</v>
      </c>
      <c r="C203">
        <f>VLOOKUP(Inv_Master[[#This Row],[التوجية المحاسبي]],'COA_Mtble'!C:D,2,0)</f>
        <v>23</v>
      </c>
      <c r="D203" t="s">
        <v>1168</v>
      </c>
      <c r="E203" t="s">
        <v>1191</v>
      </c>
      <c r="F203">
        <v>79</v>
      </c>
    </row>
    <row r="204" spans="1:6">
      <c r="A204" t="s">
        <v>1398</v>
      </c>
      <c r="B204" t="s">
        <v>400</v>
      </c>
      <c r="C204">
        <f>VLOOKUP(Inv_Master[[#This Row],[التوجية المحاسبي]],'COA_Mtble'!C:D,2,0)</f>
        <v>22</v>
      </c>
      <c r="D204" t="s">
        <v>1355</v>
      </c>
      <c r="E204" t="s">
        <v>1355</v>
      </c>
      <c r="F204">
        <v>108</v>
      </c>
    </row>
    <row r="205" spans="1:6">
      <c r="A205" t="s">
        <v>1694</v>
      </c>
      <c r="C205" t="e">
        <f>VLOOKUP(Inv_Master[[#This Row],[التوجية المحاسبي]],'COA_Mtble'!C:D,2,0)</f>
        <v>#N/A</v>
      </c>
      <c r="F205" t="s">
        <v>1164</v>
      </c>
    </row>
    <row r="206" spans="1:6">
      <c r="A206" t="s">
        <v>1342</v>
      </c>
      <c r="B206" t="s">
        <v>400</v>
      </c>
      <c r="C206">
        <f>VLOOKUP(Inv_Master[[#This Row],[التوجية المحاسبي]],'COA_Mtble'!C:D,2,0)</f>
        <v>22</v>
      </c>
      <c r="D206" t="s">
        <v>1173</v>
      </c>
      <c r="E206" t="s">
        <v>1173</v>
      </c>
      <c r="F206">
        <v>69</v>
      </c>
    </row>
    <row r="207" spans="1:6">
      <c r="A207" t="s">
        <v>1234</v>
      </c>
      <c r="B207" t="s">
        <v>404</v>
      </c>
      <c r="C207">
        <f>VLOOKUP(Inv_Master[[#This Row],[التوجية المحاسبي]],'COA_Mtble'!C:D,2,0)</f>
        <v>24</v>
      </c>
      <c r="D207" t="s">
        <v>1168</v>
      </c>
      <c r="E207" t="s">
        <v>1201</v>
      </c>
      <c r="F207">
        <v>88</v>
      </c>
    </row>
    <row r="208" spans="1:6">
      <c r="A208" t="s">
        <v>1288</v>
      </c>
      <c r="B208" t="s">
        <v>392</v>
      </c>
      <c r="C208">
        <f>VLOOKUP(Inv_Master[[#This Row],[التوجية المحاسبي]],'COA_Mtble'!C:D,2,0)</f>
        <v>18</v>
      </c>
      <c r="D208" t="s">
        <v>1168</v>
      </c>
      <c r="E208" t="s">
        <v>1197</v>
      </c>
      <c r="F208">
        <v>85</v>
      </c>
    </row>
    <row r="209" spans="1:6">
      <c r="A209" t="s">
        <v>1285</v>
      </c>
      <c r="B209" t="s">
        <v>392</v>
      </c>
      <c r="C209">
        <f>VLOOKUP(Inv_Master[[#This Row],[التوجية المحاسبي]],'COA_Mtble'!C:D,2,0)</f>
        <v>18</v>
      </c>
      <c r="D209" t="s">
        <v>1168</v>
      </c>
      <c r="E209" t="s">
        <v>1203</v>
      </c>
      <c r="F209">
        <v>87</v>
      </c>
    </row>
    <row r="210" spans="1:6">
      <c r="A210" t="s">
        <v>1396</v>
      </c>
      <c r="B210" t="s">
        <v>396</v>
      </c>
      <c r="C210">
        <f>VLOOKUP(Inv_Master[[#This Row],[التوجية المحاسبي]],'COA_Mtble'!C:D,2,0)</f>
        <v>20</v>
      </c>
      <c r="D210" t="s">
        <v>1355</v>
      </c>
      <c r="E210" t="s">
        <v>1355</v>
      </c>
      <c r="F210">
        <v>108</v>
      </c>
    </row>
    <row r="211" spans="1:6">
      <c r="A211" t="s">
        <v>1309</v>
      </c>
      <c r="B211" t="s">
        <v>392</v>
      </c>
      <c r="C211">
        <f>VLOOKUP(Inv_Master[[#This Row],[التوجية المحاسبي]],'COA_Mtble'!C:D,2,0)</f>
        <v>18</v>
      </c>
      <c r="D211" t="s">
        <v>1173</v>
      </c>
      <c r="E211" t="s">
        <v>1173</v>
      </c>
      <c r="F211">
        <v>74</v>
      </c>
    </row>
    <row r="212" spans="1:6">
      <c r="A212" t="s">
        <v>1237</v>
      </c>
      <c r="B212" t="s">
        <v>404</v>
      </c>
      <c r="C212">
        <f>VLOOKUP(Inv_Master[[#This Row],[التوجية المحاسبي]],'COA_Mtble'!C:D,2,0)</f>
        <v>24</v>
      </c>
      <c r="D212" t="s">
        <v>1168</v>
      </c>
      <c r="E212" t="s">
        <v>1203</v>
      </c>
      <c r="F212">
        <v>86</v>
      </c>
    </row>
    <row r="213" spans="1:6">
      <c r="A213" t="s">
        <v>611</v>
      </c>
      <c r="B213" t="s">
        <v>392</v>
      </c>
      <c r="C213">
        <f>VLOOKUP(Inv_Master[[#This Row],[التوجية المحاسبي]],'COA_Mtble'!C:D,2,0)</f>
        <v>18</v>
      </c>
      <c r="D213" t="s">
        <v>1168</v>
      </c>
      <c r="E213" t="s">
        <v>1191</v>
      </c>
      <c r="F213">
        <v>82</v>
      </c>
    </row>
    <row r="214" spans="1:6">
      <c r="A214" s="33" t="s">
        <v>1646</v>
      </c>
      <c r="C214" t="e">
        <f>VLOOKUP(Inv_Master[[#This Row],[التوجية المحاسبي]],'COA_Mtble'!C:D,2,0)</f>
        <v>#N/A</v>
      </c>
      <c r="F214">
        <v>119</v>
      </c>
    </row>
    <row r="215" spans="1:6">
      <c r="A215" t="s">
        <v>1167</v>
      </c>
      <c r="B215" t="s">
        <v>420</v>
      </c>
      <c r="C215">
        <f>VLOOKUP(Inv_Master[[#This Row],[التوجية المحاسبي]],'COA_Mtble'!C:D,2,0)</f>
        <v>32</v>
      </c>
      <c r="D215" t="s">
        <v>1168</v>
      </c>
      <c r="E215" t="s">
        <v>1169</v>
      </c>
      <c r="F215" t="s">
        <v>1164</v>
      </c>
    </row>
    <row r="216" spans="1:6">
      <c r="A216" t="s">
        <v>1373</v>
      </c>
      <c r="B216" t="s">
        <v>402</v>
      </c>
      <c r="C216">
        <f>VLOOKUP(Inv_Master[[#This Row],[التوجية المحاسبي]],'COA_Mtble'!C:D,2,0)</f>
        <v>23</v>
      </c>
      <c r="D216" t="s">
        <v>1355</v>
      </c>
      <c r="E216" t="s">
        <v>1355</v>
      </c>
      <c r="F216">
        <v>108</v>
      </c>
    </row>
    <row r="217" spans="1:6">
      <c r="A217" t="s">
        <v>1247</v>
      </c>
      <c r="B217" t="s">
        <v>404</v>
      </c>
      <c r="C217">
        <f>VLOOKUP(Inv_Master[[#This Row],[التوجية المحاسبي]],'COA_Mtble'!C:D,2,0)</f>
        <v>24</v>
      </c>
      <c r="D217" t="s">
        <v>1173</v>
      </c>
      <c r="E217" t="s">
        <v>1173</v>
      </c>
      <c r="F217">
        <v>38</v>
      </c>
    </row>
    <row r="218" spans="1:6">
      <c r="A218" t="s">
        <v>1233</v>
      </c>
      <c r="B218" t="s">
        <v>408</v>
      </c>
      <c r="C218">
        <f>VLOOKUP(Inv_Master[[#This Row],[التوجية المحاسبي]],'COA_Mtble'!C:D,2,0)</f>
        <v>26</v>
      </c>
      <c r="D218" t="s">
        <v>1163</v>
      </c>
      <c r="E218" t="s">
        <v>1163</v>
      </c>
      <c r="F218">
        <v>103</v>
      </c>
    </row>
    <row r="219" spans="1:6">
      <c r="A219" t="s">
        <v>1320</v>
      </c>
      <c r="B219" t="s">
        <v>420</v>
      </c>
      <c r="C219">
        <f>VLOOKUP(Inv_Master[[#This Row],[التوجية المحاسبي]],'COA_Mtble'!C:D,2,0)</f>
        <v>32</v>
      </c>
      <c r="D219" t="s">
        <v>1168</v>
      </c>
      <c r="E219" t="s">
        <v>1266</v>
      </c>
      <c r="F219" t="s">
        <v>1273</v>
      </c>
    </row>
    <row r="220" spans="1:6">
      <c r="A220" s="33" t="s">
        <v>1649</v>
      </c>
      <c r="C220" t="e">
        <f>VLOOKUP(Inv_Master[[#This Row],[التوجية المحاسبي]],'COA_Mtble'!C:D,2,0)</f>
        <v>#N/A</v>
      </c>
      <c r="F220">
        <v>118</v>
      </c>
    </row>
    <row r="221" spans="1:6">
      <c r="A221" t="s">
        <v>1391</v>
      </c>
      <c r="B221" t="s">
        <v>400</v>
      </c>
      <c r="C221">
        <f>VLOOKUP(Inv_Master[[#This Row],[التوجية المحاسبي]],'COA_Mtble'!C:D,2,0)</f>
        <v>22</v>
      </c>
      <c r="D221" t="s">
        <v>1382</v>
      </c>
      <c r="E221" t="s">
        <v>1382</v>
      </c>
      <c r="F221">
        <v>108</v>
      </c>
    </row>
    <row r="222" spans="1:6">
      <c r="A222" s="33" t="s">
        <v>1653</v>
      </c>
      <c r="C222" t="e">
        <f>VLOOKUP(Inv_Master[[#This Row],[التوجية المحاسبي]],'COA_Mtble'!C:D,2,0)</f>
        <v>#N/A</v>
      </c>
      <c r="F222">
        <v>116</v>
      </c>
    </row>
    <row r="223" spans="1:6">
      <c r="A223" t="s">
        <v>1360</v>
      </c>
      <c r="B223" t="s">
        <v>392</v>
      </c>
      <c r="C223">
        <f>VLOOKUP(Inv_Master[[#This Row],[التوجية المحاسبي]],'COA_Mtble'!C:D,2,0)</f>
        <v>18</v>
      </c>
      <c r="D223" t="s">
        <v>1168</v>
      </c>
      <c r="E223" t="s">
        <v>1171</v>
      </c>
      <c r="F223">
        <v>76</v>
      </c>
    </row>
    <row r="224" spans="1:6">
      <c r="A224" t="s">
        <v>1693</v>
      </c>
      <c r="C224" t="e">
        <f>VLOOKUP(Inv_Master[[#This Row],[التوجية المحاسبي]],'COA_Mtble'!C:D,2,0)</f>
        <v>#N/A</v>
      </c>
      <c r="F224" t="s">
        <v>1164</v>
      </c>
    </row>
    <row r="225" spans="1:6">
      <c r="A225" t="s">
        <v>1282</v>
      </c>
      <c r="B225" t="s">
        <v>392</v>
      </c>
      <c r="C225">
        <f>VLOOKUP(Inv_Master[[#This Row],[التوجية المحاسبي]],'COA_Mtble'!C:D,2,0)</f>
        <v>18</v>
      </c>
      <c r="D225" t="s">
        <v>1203</v>
      </c>
      <c r="E225" t="s">
        <v>1203</v>
      </c>
      <c r="F225">
        <v>86</v>
      </c>
    </row>
    <row r="226" spans="1:6">
      <c r="A226" t="s">
        <v>1379</v>
      </c>
      <c r="B226" t="s">
        <v>396</v>
      </c>
      <c r="C226">
        <f>VLOOKUP(Inv_Master[[#This Row],[التوجية المحاسبي]],'COA_Mtble'!C:D,2,0)</f>
        <v>20</v>
      </c>
      <c r="D226" t="s">
        <v>1355</v>
      </c>
      <c r="E226" t="s">
        <v>1355</v>
      </c>
      <c r="F226">
        <v>109</v>
      </c>
    </row>
    <row r="227" spans="1:6">
      <c r="A227" t="s">
        <v>1400</v>
      </c>
      <c r="B227" t="s">
        <v>404</v>
      </c>
      <c r="C227">
        <f>VLOOKUP(Inv_Master[[#This Row],[التوجية المحاسبي]],'COA_Mtble'!C:D,2,0)</f>
        <v>24</v>
      </c>
      <c r="D227" t="s">
        <v>1382</v>
      </c>
      <c r="E227" t="s">
        <v>1382</v>
      </c>
      <c r="F227">
        <v>108</v>
      </c>
    </row>
    <row r="228" spans="1:6">
      <c r="A228" t="s">
        <v>1281</v>
      </c>
      <c r="B228" t="s">
        <v>392</v>
      </c>
      <c r="C228">
        <f>VLOOKUP(Inv_Master[[#This Row],[التوجية المحاسبي]],'COA_Mtble'!C:D,2,0)</f>
        <v>18</v>
      </c>
      <c r="D228" t="s">
        <v>1166</v>
      </c>
      <c r="E228" t="s">
        <v>1201</v>
      </c>
      <c r="F228">
        <v>88</v>
      </c>
    </row>
    <row r="229" spans="1:6">
      <c r="A229" t="s">
        <v>1186</v>
      </c>
      <c r="B229" t="s">
        <v>406</v>
      </c>
      <c r="C229">
        <f>VLOOKUP(Inv_Master[[#This Row],[التوجية المحاسبي]],'COA_Mtble'!C:D,2,0)</f>
        <v>25</v>
      </c>
      <c r="D229" t="s">
        <v>1184</v>
      </c>
      <c r="E229" t="s">
        <v>1184</v>
      </c>
      <c r="F229">
        <v>72</v>
      </c>
    </row>
    <row r="230" spans="1:6">
      <c r="A230" t="s">
        <v>1304</v>
      </c>
      <c r="B230" t="s">
        <v>392</v>
      </c>
      <c r="C230">
        <f>VLOOKUP(Inv_Master[[#This Row],[التوجية المحاسبي]],'COA_Mtble'!C:D,2,0)</f>
        <v>18</v>
      </c>
      <c r="D230" t="s">
        <v>1171</v>
      </c>
      <c r="E230" t="s">
        <v>1171</v>
      </c>
      <c r="F230">
        <v>69</v>
      </c>
    </row>
    <row r="231" spans="1:6">
      <c r="A231" t="s">
        <v>1287</v>
      </c>
      <c r="B231" t="s">
        <v>392</v>
      </c>
      <c r="C231">
        <f>VLOOKUP(Inv_Master[[#This Row],[التوجية المحاسبي]],'COA_Mtble'!C:D,2,0)</f>
        <v>18</v>
      </c>
      <c r="D231" t="s">
        <v>1168</v>
      </c>
      <c r="E231" t="s">
        <v>1203</v>
      </c>
      <c r="F231">
        <v>86</v>
      </c>
    </row>
    <row r="232" spans="1:6">
      <c r="A232" t="s">
        <v>1209</v>
      </c>
      <c r="B232" t="s">
        <v>414</v>
      </c>
      <c r="C232">
        <f>VLOOKUP(Inv_Master[[#This Row],[التوجية المحاسبي]],'COA_Mtble'!C:D,2,0)</f>
        <v>29</v>
      </c>
      <c r="D232" t="s">
        <v>1168</v>
      </c>
      <c r="E232" t="s">
        <v>1201</v>
      </c>
      <c r="F232">
        <v>87</v>
      </c>
    </row>
    <row r="233" spans="1:6">
      <c r="A233" t="s">
        <v>1327</v>
      </c>
      <c r="B233" t="s">
        <v>398</v>
      </c>
      <c r="C233">
        <f>VLOOKUP(Inv_Master[[#This Row],[التوجية المحاسبي]],'COA_Mtble'!C:D,2,0)</f>
        <v>21</v>
      </c>
      <c r="D233" t="s">
        <v>1168</v>
      </c>
      <c r="E233" t="s">
        <v>1201</v>
      </c>
      <c r="F233">
        <v>93</v>
      </c>
    </row>
    <row r="234" spans="1:6">
      <c r="A234" t="s">
        <v>1333</v>
      </c>
      <c r="B234" t="s">
        <v>400</v>
      </c>
      <c r="C234">
        <f>VLOOKUP(Inv_Master[[#This Row],[التوجية المحاسبي]],'COA_Mtble'!C:D,2,0)</f>
        <v>22</v>
      </c>
      <c r="D234" t="s">
        <v>1173</v>
      </c>
      <c r="E234" t="s">
        <v>1173</v>
      </c>
      <c r="F234">
        <v>69</v>
      </c>
    </row>
    <row r="235" spans="1:6">
      <c r="A235" t="s">
        <v>1371</v>
      </c>
      <c r="B235" t="s">
        <v>402</v>
      </c>
      <c r="C235">
        <f>VLOOKUP(Inv_Master[[#This Row],[التوجية المحاسبي]],'COA_Mtble'!C:D,2,0)</f>
        <v>23</v>
      </c>
      <c r="D235" t="s">
        <v>1355</v>
      </c>
      <c r="E235" t="s">
        <v>1355</v>
      </c>
      <c r="F235">
        <v>108</v>
      </c>
    </row>
    <row r="236" spans="1:6">
      <c r="A236" t="s">
        <v>1580</v>
      </c>
      <c r="B236" t="s">
        <v>432</v>
      </c>
      <c r="C236">
        <f>VLOOKUP(Inv_Master[[#This Row],[التوجية المحاسبي]],'COA_Mtble'!C:D,2,0)</f>
        <v>38</v>
      </c>
      <c r="D236" s="23" t="s">
        <v>1587</v>
      </c>
      <c r="E236" s="23" t="s">
        <v>1587</v>
      </c>
      <c r="F236" t="s">
        <v>1273</v>
      </c>
    </row>
    <row r="237" spans="1:6">
      <c r="A237" t="s">
        <v>1579</v>
      </c>
      <c r="B237" t="s">
        <v>1588</v>
      </c>
      <c r="C237" t="s">
        <v>1588</v>
      </c>
      <c r="D237" s="23" t="s">
        <v>1587</v>
      </c>
      <c r="E237" s="23" t="s">
        <v>1587</v>
      </c>
      <c r="F237" t="s">
        <v>1164</v>
      </c>
    </row>
    <row r="238" spans="1:6">
      <c r="A238" t="s">
        <v>1264</v>
      </c>
      <c r="B238" t="s">
        <v>408</v>
      </c>
      <c r="C238">
        <f>VLOOKUP(Inv_Master[[#This Row],[التوجية المحاسبي]],'COA_Mtble'!C:D,2,0)</f>
        <v>26</v>
      </c>
      <c r="D238" t="s">
        <v>1168</v>
      </c>
      <c r="E238" t="s">
        <v>1203</v>
      </c>
      <c r="F238" t="s">
        <v>1164</v>
      </c>
    </row>
    <row r="239" spans="1:6">
      <c r="A239" t="s">
        <v>1176</v>
      </c>
      <c r="B239" t="s">
        <v>420</v>
      </c>
      <c r="C239">
        <f>VLOOKUP(Inv_Master[[#This Row],[التوجية المحاسبي]],'COA_Mtble'!C:D,2,0)</f>
        <v>32</v>
      </c>
      <c r="D239" t="s">
        <v>1173</v>
      </c>
      <c r="E239" t="s">
        <v>1173</v>
      </c>
      <c r="F239" t="s">
        <v>1164</v>
      </c>
    </row>
    <row r="240" spans="1:6">
      <c r="A240" t="s">
        <v>1319</v>
      </c>
      <c r="B240" t="s">
        <v>420</v>
      </c>
      <c r="C240">
        <f>VLOOKUP(Inv_Master[[#This Row],[التوجية المحاسبي]],'COA_Mtble'!C:D,2,0)</f>
        <v>32</v>
      </c>
      <c r="D240" t="s">
        <v>1168</v>
      </c>
      <c r="E240" t="s">
        <v>1178</v>
      </c>
      <c r="F240" t="s">
        <v>1273</v>
      </c>
    </row>
    <row r="241" spans="1:8">
      <c r="A241" t="s">
        <v>1260</v>
      </c>
      <c r="B241" t="s">
        <v>408</v>
      </c>
      <c r="C241">
        <f>VLOOKUP(Inv_Master[[#This Row],[التوجية المحاسبي]],'COA_Mtble'!C:D,2,0)</f>
        <v>26</v>
      </c>
      <c r="D241" t="s">
        <v>1166</v>
      </c>
      <c r="E241" t="s">
        <v>1166</v>
      </c>
      <c r="F241">
        <v>91</v>
      </c>
    </row>
    <row r="242" spans="1:8">
      <c r="A242" t="s">
        <v>1402</v>
      </c>
      <c r="B242" t="s">
        <v>402</v>
      </c>
      <c r="C242">
        <f>VLOOKUP(Inv_Master[[#This Row],[التوجية المحاسبي]],'COA_Mtble'!C:D,2,0)</f>
        <v>23</v>
      </c>
      <c r="D242" t="s">
        <v>1382</v>
      </c>
      <c r="E242" t="s">
        <v>1382</v>
      </c>
      <c r="F242">
        <v>108</v>
      </c>
    </row>
    <row r="243" spans="1:8">
      <c r="A243" t="s">
        <v>1386</v>
      </c>
      <c r="B243" t="s">
        <v>404</v>
      </c>
      <c r="C243">
        <f>VLOOKUP(Inv_Master[[#This Row],[التوجية المحاسبي]],'COA_Mtble'!C:D,2,0)</f>
        <v>24</v>
      </c>
      <c r="D243" t="s">
        <v>1382</v>
      </c>
      <c r="E243" t="s">
        <v>1382</v>
      </c>
      <c r="F243">
        <v>108</v>
      </c>
    </row>
    <row r="244" spans="1:8">
      <c r="A244" t="s">
        <v>1584</v>
      </c>
      <c r="B244" t="s">
        <v>420</v>
      </c>
      <c r="C244">
        <f>VLOOKUP(Inv_Master[[#This Row],[التوجية المحاسبي]],'COA_Mtble'!C:D,2,0)</f>
        <v>32</v>
      </c>
      <c r="D244" s="23" t="s">
        <v>1587</v>
      </c>
      <c r="E244" s="23" t="s">
        <v>1587</v>
      </c>
      <c r="F244" t="s">
        <v>1164</v>
      </c>
    </row>
    <row r="245" spans="1:8">
      <c r="A245" t="s">
        <v>1359</v>
      </c>
      <c r="B245" t="s">
        <v>392</v>
      </c>
      <c r="C245">
        <f>VLOOKUP(Inv_Master[[#This Row],[التوجية المحاسبي]],'COA_Mtble'!C:D,2,0)</f>
        <v>18</v>
      </c>
      <c r="D245" t="s">
        <v>1168</v>
      </c>
      <c r="E245" t="s">
        <v>1171</v>
      </c>
      <c r="F245">
        <v>77</v>
      </c>
    </row>
    <row r="246" spans="1:8">
      <c r="A246" t="s">
        <v>1220</v>
      </c>
      <c r="B246" t="s">
        <v>396</v>
      </c>
      <c r="C246">
        <f>VLOOKUP(Inv_Master[[#This Row],[التوجية المحاسبي]],'COA_Mtble'!C:D,2,0)</f>
        <v>20</v>
      </c>
      <c r="D246" t="s">
        <v>1168</v>
      </c>
      <c r="E246" t="s">
        <v>1169</v>
      </c>
      <c r="F246">
        <v>79</v>
      </c>
    </row>
    <row r="247" spans="1:8">
      <c r="A247" t="s">
        <v>1341</v>
      </c>
      <c r="B247" t="s">
        <v>400</v>
      </c>
      <c r="C247">
        <f>VLOOKUP(Inv_Master[[#This Row],[التوجية المحاسبي]],'COA_Mtble'!C:D,2,0)</f>
        <v>22</v>
      </c>
      <c r="D247" t="s">
        <v>1168</v>
      </c>
      <c r="E247" t="s">
        <v>1171</v>
      </c>
      <c r="F247">
        <v>77</v>
      </c>
    </row>
    <row r="248" spans="1:8">
      <c r="A248" t="s">
        <v>1246</v>
      </c>
      <c r="B248" t="s">
        <v>404</v>
      </c>
      <c r="C248">
        <f>VLOOKUP(Inv_Master[[#This Row],[التوجية المحاسبي]],'COA_Mtble'!C:D,2,0)</f>
        <v>24</v>
      </c>
      <c r="D248" t="s">
        <v>1173</v>
      </c>
      <c r="E248" t="s">
        <v>1173</v>
      </c>
      <c r="F248">
        <v>69</v>
      </c>
    </row>
    <row r="249" spans="1:8">
      <c r="A249" t="s">
        <v>1437</v>
      </c>
      <c r="B249" t="s">
        <v>432</v>
      </c>
      <c r="C249">
        <v>38</v>
      </c>
      <c r="D249" s="23" t="s">
        <v>1440</v>
      </c>
      <c r="E249" s="23" t="s">
        <v>1440</v>
      </c>
      <c r="F249" t="s">
        <v>1273</v>
      </c>
    </row>
    <row r="250" spans="1:8">
      <c r="A250" t="s">
        <v>1250</v>
      </c>
      <c r="B250" t="s">
        <v>398</v>
      </c>
      <c r="C250">
        <f>VLOOKUP(Inv_Master[[#This Row],[التوجية المحاسبي]],'COA_Mtble'!C:D,2,0)</f>
        <v>21</v>
      </c>
      <c r="D250" t="s">
        <v>1163</v>
      </c>
      <c r="E250" t="s">
        <v>1163</v>
      </c>
      <c r="F250">
        <v>103</v>
      </c>
    </row>
    <row r="251" spans="1:8">
      <c r="A251" t="s">
        <v>1345</v>
      </c>
      <c r="B251" t="s">
        <v>358</v>
      </c>
      <c r="C251">
        <f>VLOOKUP(Inv_Master[[#This Row],[التوجية المحاسبي]],'COA_Mtble'!C:D,2,0)</f>
        <v>1</v>
      </c>
      <c r="D251" t="s">
        <v>1173</v>
      </c>
      <c r="E251" t="s">
        <v>1173</v>
      </c>
      <c r="F251" t="s">
        <v>1164</v>
      </c>
    </row>
    <row r="252" spans="1:8">
      <c r="A252" t="s">
        <v>1243</v>
      </c>
      <c r="B252" t="s">
        <v>404</v>
      </c>
      <c r="C252">
        <f>VLOOKUP(Inv_Master[[#This Row],[التوجية المحاسبي]],'COA_Mtble'!C:D,2,0)</f>
        <v>24</v>
      </c>
      <c r="D252" t="s">
        <v>1244</v>
      </c>
      <c r="E252" t="s">
        <v>1244</v>
      </c>
      <c r="F252">
        <v>74</v>
      </c>
      <c r="G252" t="s">
        <v>634</v>
      </c>
      <c r="H252" s="20">
        <v>45716</v>
      </c>
    </row>
    <row r="253" spans="1:8">
      <c r="A253" t="s">
        <v>1253</v>
      </c>
      <c r="B253" t="s">
        <v>398</v>
      </c>
      <c r="C253">
        <f>VLOOKUP(Inv_Master[[#This Row],[التوجية المحاسبي]],'COA_Mtble'!C:D,2,0)</f>
        <v>21</v>
      </c>
      <c r="D253" t="s">
        <v>1163</v>
      </c>
      <c r="E253" t="s">
        <v>1163</v>
      </c>
      <c r="F253">
        <v>103</v>
      </c>
      <c r="H253" s="20">
        <v>45688</v>
      </c>
    </row>
    <row r="254" spans="1:8">
      <c r="A254" t="s">
        <v>1315</v>
      </c>
      <c r="B254" t="s">
        <v>398</v>
      </c>
      <c r="C254">
        <f>VLOOKUP(Inv_Master[[#This Row],[التوجية المحاسبي]],'COA_Mtble'!C:D,2,0)</f>
        <v>21</v>
      </c>
      <c r="D254" t="s">
        <v>1168</v>
      </c>
      <c r="E254" t="s">
        <v>1219</v>
      </c>
      <c r="F254">
        <v>82</v>
      </c>
      <c r="G254" t="s">
        <v>642</v>
      </c>
      <c r="H254" s="20">
        <v>45716</v>
      </c>
    </row>
    <row r="255" spans="1:8">
      <c r="A255" t="s">
        <v>1572</v>
      </c>
      <c r="B255" t="s">
        <v>378</v>
      </c>
      <c r="C255">
        <f>VLOOKUP(Inv_Master[[#This Row],[التوجية المحاسبي]],'COA_Mtble'!C:D,2,0)</f>
        <v>11</v>
      </c>
      <c r="D255" s="23" t="s">
        <v>1587</v>
      </c>
      <c r="E255" s="23" t="s">
        <v>1587</v>
      </c>
      <c r="F255" t="s">
        <v>1586</v>
      </c>
      <c r="G255" t="s">
        <v>1279</v>
      </c>
      <c r="H255" s="20">
        <v>45716</v>
      </c>
    </row>
    <row r="256" spans="1:8">
      <c r="A256" t="s">
        <v>1362</v>
      </c>
      <c r="B256" t="s">
        <v>398</v>
      </c>
      <c r="C256">
        <f>VLOOKUP(Inv_Master[[#This Row],[التوجية المحاسبي]],'COA_Mtble'!C:D,2,0)</f>
        <v>21</v>
      </c>
      <c r="D256" t="s">
        <v>1292</v>
      </c>
      <c r="E256" t="s">
        <v>1292</v>
      </c>
      <c r="F256">
        <v>106</v>
      </c>
      <c r="G256" t="s">
        <v>652</v>
      </c>
      <c r="H256" s="20">
        <v>45716</v>
      </c>
    </row>
    <row r="257" spans="1:8">
      <c r="A257" t="s">
        <v>1248</v>
      </c>
      <c r="B257" t="s">
        <v>396</v>
      </c>
      <c r="C257">
        <f>VLOOKUP(Inv_Master[[#This Row],[التوجية المحاسبي]],'COA_Mtble'!C:D,2,0)</f>
        <v>20</v>
      </c>
      <c r="D257" t="s">
        <v>1173</v>
      </c>
      <c r="E257" t="s">
        <v>1173</v>
      </c>
      <c r="F257">
        <v>69</v>
      </c>
      <c r="G257" t="s">
        <v>1280</v>
      </c>
      <c r="H257" s="20">
        <v>45688</v>
      </c>
    </row>
    <row r="258" spans="1:8">
      <c r="A258" t="s">
        <v>1298</v>
      </c>
      <c r="B258" t="s">
        <v>392</v>
      </c>
      <c r="C258">
        <f>VLOOKUP(Inv_Master[[#This Row],[التوجية المحاسبي]],'COA_Mtble'!C:D,2,0)</f>
        <v>18</v>
      </c>
      <c r="D258" t="s">
        <v>1182</v>
      </c>
      <c r="E258" t="s">
        <v>1182</v>
      </c>
      <c r="F258">
        <v>71</v>
      </c>
      <c r="G258" t="s">
        <v>647</v>
      </c>
      <c r="H258" s="20">
        <v>45716</v>
      </c>
    </row>
    <row r="259" spans="1:8">
      <c r="A259" t="s">
        <v>1380</v>
      </c>
      <c r="B259" t="s">
        <v>404</v>
      </c>
      <c r="C259">
        <f>VLOOKUP(Inv_Master[[#This Row],[التوجية المحاسبي]],'COA_Mtble'!C:D,2,0)</f>
        <v>24</v>
      </c>
      <c r="D259" t="s">
        <v>1355</v>
      </c>
      <c r="E259" t="s">
        <v>1355</v>
      </c>
      <c r="F259">
        <v>108</v>
      </c>
      <c r="G259" t="s">
        <v>629</v>
      </c>
      <c r="H259" s="20">
        <v>45716</v>
      </c>
    </row>
    <row r="260" spans="1:8">
      <c r="A260" t="s">
        <v>1240</v>
      </c>
      <c r="B260" t="s">
        <v>404</v>
      </c>
      <c r="C260">
        <f>VLOOKUP(Inv_Master[[#This Row],[التوجية المحاسبي]],'COA_Mtble'!C:D,2,0)</f>
        <v>24</v>
      </c>
      <c r="D260" t="s">
        <v>1168</v>
      </c>
      <c r="E260" t="s">
        <v>1241</v>
      </c>
      <c r="F260">
        <v>83</v>
      </c>
      <c r="G260" t="s">
        <v>1281</v>
      </c>
      <c r="H260" s="20">
        <v>45688</v>
      </c>
    </row>
    <row r="261" spans="1:8">
      <c r="A261" t="s">
        <v>1162</v>
      </c>
      <c r="B261" t="s">
        <v>420</v>
      </c>
      <c r="C261">
        <f>VLOOKUP(Inv_Master[[#This Row],[التوجية المحاسبي]],'COA_Mtble'!C:D,2,0)</f>
        <v>32</v>
      </c>
      <c r="D261" t="s">
        <v>1163</v>
      </c>
      <c r="E261" t="s">
        <v>1163</v>
      </c>
      <c r="F261" t="s">
        <v>1164</v>
      </c>
      <c r="G261" t="s">
        <v>1284</v>
      </c>
      <c r="H261" s="20">
        <v>45716</v>
      </c>
    </row>
    <row r="262" spans="1:8">
      <c r="A262" t="s">
        <v>1297</v>
      </c>
      <c r="B262" t="s">
        <v>392</v>
      </c>
      <c r="C262">
        <f>VLOOKUP(Inv_Master[[#This Row],[التوجية المحاسبي]],'COA_Mtble'!C:D,2,0)</f>
        <v>18</v>
      </c>
      <c r="D262" t="s">
        <v>1182</v>
      </c>
      <c r="E262" t="s">
        <v>1182</v>
      </c>
      <c r="F262">
        <v>69</v>
      </c>
    </row>
    <row r="263" spans="1:8">
      <c r="A263" t="s">
        <v>1407</v>
      </c>
      <c r="B263" t="s">
        <v>404</v>
      </c>
      <c r="C263">
        <f>VLOOKUP(Inv_Master[[#This Row],[التوجية المحاسبي]],'COA_Mtble'!C:D,2,0)</f>
        <v>24</v>
      </c>
      <c r="D263" t="s">
        <v>1382</v>
      </c>
      <c r="E263" t="s">
        <v>1382</v>
      </c>
      <c r="F263">
        <v>108</v>
      </c>
    </row>
    <row r="264" spans="1:8">
      <c r="A264" t="s">
        <v>1256</v>
      </c>
      <c r="B264" t="s">
        <v>398</v>
      </c>
      <c r="C264">
        <f>VLOOKUP(Inv_Master[[#This Row],[التوجية المحاسبي]],'COA_Mtble'!C:D,2,0)</f>
        <v>21</v>
      </c>
      <c r="D264" t="s">
        <v>1168</v>
      </c>
      <c r="E264" t="s">
        <v>1171</v>
      </c>
      <c r="F264">
        <v>76</v>
      </c>
    </row>
    <row r="265" spans="1:8">
      <c r="A265" s="33" t="s">
        <v>1636</v>
      </c>
      <c r="C265" t="e">
        <f>VLOOKUP(Inv_Master[[#This Row],[التوجية المحاسبي]],'COA_Mtble'!C:D,2,0)</f>
        <v>#N/A</v>
      </c>
      <c r="F265">
        <v>115</v>
      </c>
    </row>
    <row r="266" spans="1:8">
      <c r="A266" t="s">
        <v>1272</v>
      </c>
      <c r="B266" t="s">
        <v>420</v>
      </c>
      <c r="C266">
        <f>VLOOKUP(Inv_Master[[#This Row],[التوجية المحاسبي]],'COA_Mtble'!C:D,2,0)</f>
        <v>32</v>
      </c>
      <c r="D266" t="s">
        <v>1168</v>
      </c>
      <c r="E266" t="s">
        <v>1266</v>
      </c>
      <c r="F266" t="s">
        <v>1273</v>
      </c>
    </row>
    <row r="267" spans="1:8">
      <c r="A267" s="33" t="s">
        <v>1659</v>
      </c>
      <c r="C267" t="e">
        <f>VLOOKUP(Inv_Master[[#This Row],[التوجية المحاسبي]],'COA_Mtble'!C:D,2,0)</f>
        <v>#N/A</v>
      </c>
      <c r="F267" t="s">
        <v>1164</v>
      </c>
    </row>
    <row r="268" spans="1:8">
      <c r="A268" t="s">
        <v>1200</v>
      </c>
      <c r="B268" t="s">
        <v>398</v>
      </c>
      <c r="C268">
        <f>VLOOKUP(Inv_Master[[#This Row],[التوجية المحاسبي]],'COA_Mtble'!C:D,2,0)</f>
        <v>21</v>
      </c>
      <c r="D268" t="s">
        <v>1168</v>
      </c>
      <c r="E268" t="s">
        <v>1201</v>
      </c>
      <c r="F268">
        <v>87</v>
      </c>
    </row>
    <row r="269" spans="1:8">
      <c r="A269" t="s">
        <v>1358</v>
      </c>
      <c r="B269" t="s">
        <v>398</v>
      </c>
      <c r="C269">
        <f>VLOOKUP(Inv_Master[[#This Row],[التوجية المحاسبي]],'COA_Mtble'!C:D,2,0)</f>
        <v>21</v>
      </c>
      <c r="D269" t="s">
        <v>1292</v>
      </c>
      <c r="E269" t="s">
        <v>1292</v>
      </c>
      <c r="F269">
        <v>104</v>
      </c>
    </row>
    <row r="270" spans="1:8">
      <c r="A270" t="s">
        <v>1370</v>
      </c>
      <c r="B270" t="s">
        <v>402</v>
      </c>
      <c r="C270">
        <f>VLOOKUP(Inv_Master[[#This Row],[التوجية المحاسبي]],'COA_Mtble'!C:D,2,0)</f>
        <v>23</v>
      </c>
      <c r="D270" t="s">
        <v>1355</v>
      </c>
      <c r="E270" t="s">
        <v>1355</v>
      </c>
      <c r="F270">
        <v>108</v>
      </c>
    </row>
    <row r="271" spans="1:8">
      <c r="A271" t="s">
        <v>1300</v>
      </c>
      <c r="B271" t="s">
        <v>392</v>
      </c>
      <c r="C271">
        <f>VLOOKUP(Inv_Master[[#This Row],[التوجية المحاسبي]],'COA_Mtble'!C:D,2,0)</f>
        <v>18</v>
      </c>
      <c r="D271" t="s">
        <v>1169</v>
      </c>
      <c r="E271" t="s">
        <v>1241</v>
      </c>
      <c r="F271">
        <v>80</v>
      </c>
    </row>
    <row r="272" spans="1:8">
      <c r="A272" t="s">
        <v>1294</v>
      </c>
      <c r="B272" t="s">
        <v>392</v>
      </c>
      <c r="C272">
        <f>VLOOKUP(Inv_Master[[#This Row],[التوجية المحاسبي]],'COA_Mtble'!C:D,2,0)</f>
        <v>18</v>
      </c>
      <c r="D272" t="s">
        <v>1182</v>
      </c>
      <c r="E272" t="s">
        <v>1182</v>
      </c>
      <c r="F272">
        <v>74</v>
      </c>
    </row>
    <row r="273" spans="1:6">
      <c r="A273" t="s">
        <v>660</v>
      </c>
      <c r="B273" t="s">
        <v>392</v>
      </c>
      <c r="C273">
        <f>VLOOKUP(Inv_Master[[#This Row],[التوجية المحاسبي]],'COA_Mtble'!C:D,2,0)</f>
        <v>18</v>
      </c>
      <c r="D273" t="s">
        <v>1292</v>
      </c>
      <c r="E273" t="s">
        <v>1292</v>
      </c>
      <c r="F273">
        <v>103</v>
      </c>
    </row>
    <row r="274" spans="1:6">
      <c r="A274" t="s">
        <v>1228</v>
      </c>
      <c r="B274" t="s">
        <v>358</v>
      </c>
      <c r="C274">
        <f>VLOOKUP(Inv_Master[[#This Row],[التوجية المحاسبي]],'COA_Mtble'!C:D,2,0)</f>
        <v>1</v>
      </c>
      <c r="D274" t="s">
        <v>1173</v>
      </c>
      <c r="E274" t="s">
        <v>1173</v>
      </c>
      <c r="F274" t="s">
        <v>1164</v>
      </c>
    </row>
    <row r="275" spans="1:6">
      <c r="A275" s="34" t="s">
        <v>1324</v>
      </c>
      <c r="B275" t="s">
        <v>420</v>
      </c>
      <c r="C275">
        <f>VLOOKUP(Inv_Master[[#This Row],[التوجية المحاسبي]],'COA_Mtble'!C:D,2,0)</f>
        <v>32</v>
      </c>
      <c r="D275" t="s">
        <v>1168</v>
      </c>
      <c r="E275" t="s">
        <v>1178</v>
      </c>
      <c r="F275" t="s">
        <v>1164</v>
      </c>
    </row>
    <row r="276" spans="1:6">
      <c r="A276" s="34" t="s">
        <v>1338</v>
      </c>
      <c r="B276" t="s">
        <v>400</v>
      </c>
      <c r="C276">
        <f>VLOOKUP(Inv_Master[[#This Row],[التوجية المحاسبي]],'COA_Mtble'!C:D,2,0)</f>
        <v>22</v>
      </c>
      <c r="D276" t="s">
        <v>1168</v>
      </c>
      <c r="E276" t="s">
        <v>1203</v>
      </c>
      <c r="F276">
        <v>87</v>
      </c>
    </row>
    <row r="277" spans="1:6">
      <c r="A277" s="34" t="s">
        <v>1357</v>
      </c>
      <c r="B277" t="s">
        <v>404</v>
      </c>
      <c r="C277">
        <f>VLOOKUP(Inv_Master[[#This Row],[التوجية المحاسبي]],'COA_Mtble'!C:D,2,0)</f>
        <v>24</v>
      </c>
      <c r="D277" t="s">
        <v>1355</v>
      </c>
      <c r="E277" t="s">
        <v>1355</v>
      </c>
      <c r="F277" s="34">
        <v>109</v>
      </c>
    </row>
    <row r="278" spans="1:6">
      <c r="A278" s="34" t="s">
        <v>1311</v>
      </c>
      <c r="B278" t="s">
        <v>392</v>
      </c>
      <c r="C278">
        <f>VLOOKUP(Inv_Master[[#This Row],[التوجية المحاسبي]],'COA_Mtble'!C:D,2,0)</f>
        <v>18</v>
      </c>
      <c r="D278" t="s">
        <v>1173</v>
      </c>
      <c r="E278" t="s">
        <v>1173</v>
      </c>
      <c r="F278">
        <v>69</v>
      </c>
    </row>
    <row r="279" spans="1:6">
      <c r="A279" s="34" t="s">
        <v>1369</v>
      </c>
      <c r="B279" t="s">
        <v>402</v>
      </c>
      <c r="C279">
        <f>VLOOKUP(Inv_Master[[#This Row],[التوجية المحاسبي]],'COA_Mtble'!C:D,2,0)</f>
        <v>23</v>
      </c>
      <c r="D279" t="s">
        <v>1355</v>
      </c>
      <c r="E279" t="s">
        <v>1355</v>
      </c>
      <c r="F279">
        <v>108</v>
      </c>
    </row>
    <row r="280" spans="1:6">
      <c r="A280" s="31" t="s">
        <v>1666</v>
      </c>
      <c r="C280" t="e">
        <f>VLOOKUP(Inv_Master[[#This Row],[التوجية المحاسبي]],'COA_Mtble'!C:D,2,0)</f>
        <v>#N/A</v>
      </c>
      <c r="F280">
        <v>116</v>
      </c>
    </row>
    <row r="281" spans="1:6">
      <c r="A281" s="35" t="s">
        <v>1296</v>
      </c>
      <c r="B281" t="s">
        <v>392</v>
      </c>
      <c r="C281">
        <f>VLOOKUP(Inv_Master[[#This Row],[التوجية المحاسبي]],'COA_Mtble'!C:D,2,0)</f>
        <v>18</v>
      </c>
      <c r="D281" t="s">
        <v>1182</v>
      </c>
      <c r="E281" t="s">
        <v>1182</v>
      </c>
      <c r="F281">
        <v>74</v>
      </c>
    </row>
    <row r="282" spans="1:6">
      <c r="A282" s="34" t="s">
        <v>1366</v>
      </c>
      <c r="B282" t="s">
        <v>1175</v>
      </c>
      <c r="C282" t="s">
        <v>1175</v>
      </c>
      <c r="D282" t="s">
        <v>1175</v>
      </c>
      <c r="E282" t="s">
        <v>1175</v>
      </c>
      <c r="F282" t="s">
        <v>1164</v>
      </c>
    </row>
    <row r="283" spans="1:6">
      <c r="A283" s="34" t="s">
        <v>1236</v>
      </c>
      <c r="B283" t="s">
        <v>404</v>
      </c>
      <c r="C283">
        <f>VLOOKUP(Inv_Master[[#This Row],[التوجية المحاسبي]],'COA_Mtble'!C:D,2,0)</f>
        <v>24</v>
      </c>
      <c r="D283" t="s">
        <v>1168</v>
      </c>
      <c r="E283" t="s">
        <v>1201</v>
      </c>
      <c r="F283">
        <v>90</v>
      </c>
    </row>
    <row r="284" spans="1:6">
      <c r="A284" s="34" t="s">
        <v>1537</v>
      </c>
      <c r="B284" t="s">
        <v>392</v>
      </c>
      <c r="C284">
        <f>VLOOKUP(Inv_Master[[#This Row],[التوجية المحاسبي]],'COA_Mtble'!C:D,2,0)</f>
        <v>18</v>
      </c>
      <c r="D284" s="23" t="s">
        <v>1440</v>
      </c>
      <c r="E284" s="23" t="s">
        <v>1440</v>
      </c>
      <c r="F284">
        <v>113</v>
      </c>
    </row>
    <row r="285" spans="1:6">
      <c r="A285" s="34" t="s">
        <v>1573</v>
      </c>
      <c r="B285" t="s">
        <v>406</v>
      </c>
      <c r="C285">
        <f>VLOOKUP(Inv_Master[[#This Row],[التوجية المحاسبي]],'COA_Mtble'!C:D,2,0)</f>
        <v>25</v>
      </c>
      <c r="D285" s="23" t="s">
        <v>1587</v>
      </c>
      <c r="E285" s="23" t="s">
        <v>1587</v>
      </c>
      <c r="F285">
        <v>113</v>
      </c>
    </row>
    <row r="286" spans="1:6">
      <c r="A286" s="34" t="s">
        <v>1193</v>
      </c>
      <c r="B286" t="s">
        <v>402</v>
      </c>
      <c r="C286">
        <f>VLOOKUP(Inv_Master[[#This Row],[التوجية المحاسبي]],'COA_Mtble'!C:D,2,0)</f>
        <v>23</v>
      </c>
      <c r="D286" t="s">
        <v>1168</v>
      </c>
      <c r="E286" t="s">
        <v>1191</v>
      </c>
      <c r="F286">
        <v>79</v>
      </c>
    </row>
    <row r="287" spans="1:6">
      <c r="A287" s="34" t="s">
        <v>1269</v>
      </c>
      <c r="B287" t="s">
        <v>408</v>
      </c>
      <c r="C287">
        <f>VLOOKUP(Inv_Master[[#This Row],[التوجية المحاسبي]],'COA_Mtble'!C:D,2,0)</f>
        <v>26</v>
      </c>
      <c r="D287" t="s">
        <v>1173</v>
      </c>
      <c r="E287" t="s">
        <v>1173</v>
      </c>
      <c r="F287">
        <v>68</v>
      </c>
    </row>
    <row r="288" spans="1:6">
      <c r="A288" s="30" t="s">
        <v>1667</v>
      </c>
      <c r="C288" t="e">
        <f>VLOOKUP(Inv_Master[[#This Row],[التوجية المحاسبي]],'COA_Mtble'!C:D,2,0)</f>
        <v>#N/A</v>
      </c>
      <c r="F288">
        <v>115</v>
      </c>
    </row>
    <row r="289" spans="1:6">
      <c r="A289" s="34" t="s">
        <v>1263</v>
      </c>
      <c r="B289" t="s">
        <v>408</v>
      </c>
      <c r="C289">
        <f>VLOOKUP(Inv_Master[[#This Row],[التوجية المحاسبي]],'COA_Mtble'!C:D,2,0)</f>
        <v>26</v>
      </c>
      <c r="D289" t="s">
        <v>1168</v>
      </c>
      <c r="E289" t="s">
        <v>1203</v>
      </c>
      <c r="F289">
        <v>85</v>
      </c>
    </row>
    <row r="290" spans="1:6">
      <c r="A290" s="34" t="s">
        <v>1351</v>
      </c>
      <c r="B290" t="s">
        <v>398</v>
      </c>
      <c r="C290">
        <f>VLOOKUP(Inv_Master[[#This Row],[التوجية المحاسبي]],'COA_Mtble'!C:D,2,0)</f>
        <v>21</v>
      </c>
      <c r="D290" t="s">
        <v>1168</v>
      </c>
      <c r="E290" t="s">
        <v>1169</v>
      </c>
      <c r="F290">
        <v>80</v>
      </c>
    </row>
    <row r="291" spans="1:6">
      <c r="A291" s="34" t="s">
        <v>1226</v>
      </c>
      <c r="B291" t="s">
        <v>358</v>
      </c>
      <c r="C291">
        <f>VLOOKUP(Inv_Master[[#This Row],[التوجية المحاسبي]],'COA_Mtble'!C:D,2,0)</f>
        <v>1</v>
      </c>
      <c r="D291" t="s">
        <v>1173</v>
      </c>
      <c r="E291" t="s">
        <v>1173</v>
      </c>
      <c r="F291" t="s">
        <v>1164</v>
      </c>
    </row>
    <row r="292" spans="1:6">
      <c r="A292" s="30" t="s">
        <v>1632</v>
      </c>
      <c r="C292" t="e">
        <f>VLOOKUP(Inv_Master[[#This Row],[التوجية المحاسبي]],'COA_Mtble'!C:D,2,0)</f>
        <v>#N/A</v>
      </c>
      <c r="F292">
        <v>115</v>
      </c>
    </row>
    <row r="293" spans="1:6">
      <c r="A293" s="34" t="s">
        <v>608</v>
      </c>
      <c r="B293" t="s">
        <v>392</v>
      </c>
      <c r="C293">
        <f>VLOOKUP(Inv_Master[[#This Row],[التوجية المحاسبي]],'COA_Mtble'!C:D,2,0)</f>
        <v>18</v>
      </c>
      <c r="D293" t="s">
        <v>1168</v>
      </c>
      <c r="E293" t="s">
        <v>1169</v>
      </c>
      <c r="F293">
        <v>81</v>
      </c>
    </row>
    <row r="294" spans="1:6">
      <c r="A294" s="34" t="s">
        <v>1574</v>
      </c>
      <c r="B294" t="s">
        <v>392</v>
      </c>
      <c r="C294">
        <f>VLOOKUP(Inv_Master[[#This Row],[التوجية المحاسبي]],'COA_Mtble'!C:D,2,0)</f>
        <v>18</v>
      </c>
      <c r="D294" s="23" t="s">
        <v>1587</v>
      </c>
      <c r="E294" s="23" t="s">
        <v>1587</v>
      </c>
      <c r="F294">
        <v>113</v>
      </c>
    </row>
    <row r="295" spans="1:6">
      <c r="A295" s="34" t="s">
        <v>1221</v>
      </c>
      <c r="B295" t="s">
        <v>396</v>
      </c>
      <c r="C295">
        <f>VLOOKUP(Inv_Master[[#This Row],[التوجية المحاسبي]],'COA_Mtble'!C:D,2,0)</f>
        <v>20</v>
      </c>
      <c r="D295" t="s">
        <v>1168</v>
      </c>
      <c r="E295" t="s">
        <v>1169</v>
      </c>
      <c r="F295">
        <v>79</v>
      </c>
    </row>
    <row r="296" spans="1:6">
      <c r="A296" s="34" t="s">
        <v>1353</v>
      </c>
      <c r="B296" t="s">
        <v>396</v>
      </c>
      <c r="C296">
        <f>VLOOKUP(Inv_Master[[#This Row],[التوجية المحاسبي]],'COA_Mtble'!C:D,2,0)</f>
        <v>20</v>
      </c>
      <c r="D296" t="s">
        <v>1163</v>
      </c>
      <c r="E296" t="s">
        <v>1163</v>
      </c>
      <c r="F296">
        <v>103</v>
      </c>
    </row>
    <row r="297" spans="1:6">
      <c r="A297" s="34" t="s">
        <v>1408</v>
      </c>
      <c r="B297" t="s">
        <v>404</v>
      </c>
      <c r="C297">
        <f>VLOOKUP(Inv_Master[[#This Row],[التوجية المحاسبي]],'COA_Mtble'!C:D,2,0)</f>
        <v>24</v>
      </c>
      <c r="D297" t="s">
        <v>1382</v>
      </c>
      <c r="E297" t="s">
        <v>1382</v>
      </c>
      <c r="F297">
        <v>108</v>
      </c>
    </row>
    <row r="298" spans="1:6">
      <c r="A298" s="34" t="s">
        <v>1301</v>
      </c>
      <c r="B298" t="s">
        <v>392</v>
      </c>
      <c r="C298">
        <f>VLOOKUP(Inv_Master[[#This Row],[التوجية المحاسبي]],'COA_Mtble'!C:D,2,0)</f>
        <v>18</v>
      </c>
      <c r="D298" t="s">
        <v>1168</v>
      </c>
      <c r="E298" t="s">
        <v>1219</v>
      </c>
      <c r="F298">
        <v>80</v>
      </c>
    </row>
    <row r="299" spans="1:6">
      <c r="A299" s="34" t="s">
        <v>1189</v>
      </c>
      <c r="B299" t="s">
        <v>358</v>
      </c>
      <c r="C299">
        <f>VLOOKUP(Inv_Master[[#This Row],[التوجية المحاسبي]],'COA_Mtble'!C:D,2,0)</f>
        <v>1</v>
      </c>
      <c r="D299" t="s">
        <v>1173</v>
      </c>
      <c r="E299" t="s">
        <v>1173</v>
      </c>
      <c r="F299">
        <v>39</v>
      </c>
    </row>
    <row r="300" spans="1:6">
      <c r="A300" s="34" t="s">
        <v>1276</v>
      </c>
      <c r="B300" t="s">
        <v>358</v>
      </c>
      <c r="C300">
        <f>VLOOKUP(Inv_Master[[#This Row],[التوجية المحاسبي]],'COA_Mtble'!C:D,2,0)</f>
        <v>1</v>
      </c>
      <c r="D300" t="s">
        <v>1173</v>
      </c>
      <c r="E300" t="s">
        <v>1173</v>
      </c>
      <c r="F300">
        <v>4</v>
      </c>
    </row>
    <row r="301" spans="1:6">
      <c r="A301" s="34" t="s">
        <v>1265</v>
      </c>
      <c r="B301" t="s">
        <v>408</v>
      </c>
      <c r="C301">
        <f>VLOOKUP(Inv_Master[[#This Row],[التوجية المحاسبي]],'COA_Mtble'!C:D,2,0)</f>
        <v>26</v>
      </c>
      <c r="D301" t="s">
        <v>1168</v>
      </c>
      <c r="E301" t="s">
        <v>1266</v>
      </c>
      <c r="F301">
        <v>84</v>
      </c>
    </row>
    <row r="302" spans="1:6">
      <c r="A302" s="34" t="s">
        <v>1316</v>
      </c>
      <c r="B302" t="s">
        <v>398</v>
      </c>
      <c r="C302">
        <f>VLOOKUP(Inv_Master[[#This Row],[التوجية المحاسبي]],'COA_Mtble'!C:D,2,0)</f>
        <v>21</v>
      </c>
      <c r="D302" t="s">
        <v>1168</v>
      </c>
      <c r="E302" t="s">
        <v>1241</v>
      </c>
      <c r="F302">
        <v>84</v>
      </c>
    </row>
    <row r="303" spans="1:6">
      <c r="A303" s="34" t="s">
        <v>1284</v>
      </c>
      <c r="B303" t="s">
        <v>392</v>
      </c>
      <c r="C303">
        <f>VLOOKUP(Inv_Master[[#This Row],[التوجية المحاسبي]],'COA_Mtble'!C:D,2,0)</f>
        <v>18</v>
      </c>
      <c r="D303" t="s">
        <v>1163</v>
      </c>
      <c r="E303" t="s">
        <v>1178</v>
      </c>
      <c r="F303">
        <v>88</v>
      </c>
    </row>
    <row r="304" spans="1:6">
      <c r="A304" s="34" t="s">
        <v>1267</v>
      </c>
      <c r="B304" t="s">
        <v>408</v>
      </c>
      <c r="C304">
        <f>VLOOKUP(Inv_Master[[#This Row],[التوجية المحاسبي]],'COA_Mtble'!C:D,2,0)</f>
        <v>26</v>
      </c>
      <c r="D304" t="s">
        <v>1168</v>
      </c>
      <c r="E304" t="s">
        <v>1169</v>
      </c>
      <c r="F304">
        <v>79</v>
      </c>
    </row>
    <row r="305" spans="1:6">
      <c r="A305" s="34" t="s">
        <v>1347</v>
      </c>
      <c r="B305" t="s">
        <v>400</v>
      </c>
      <c r="C305">
        <f>VLOOKUP(Inv_Master[[#This Row],[التوجية المحاسبي]],'COA_Mtble'!C:D,2,0)</f>
        <v>22</v>
      </c>
      <c r="D305" t="s">
        <v>1168</v>
      </c>
      <c r="E305" t="s">
        <v>1239</v>
      </c>
      <c r="F305">
        <v>82</v>
      </c>
    </row>
    <row r="306" spans="1:6">
      <c r="A306" s="34" t="s">
        <v>1337</v>
      </c>
      <c r="B306" t="s">
        <v>400</v>
      </c>
      <c r="C306">
        <f>VLOOKUP(Inv_Master[[#This Row],[التوجية المحاسبي]],'COA_Mtble'!C:D,2,0)</f>
        <v>22</v>
      </c>
      <c r="D306" t="s">
        <v>1163</v>
      </c>
      <c r="E306" t="s">
        <v>1163</v>
      </c>
      <c r="F306">
        <v>103</v>
      </c>
    </row>
    <row r="307" spans="1:6">
      <c r="A307" s="34" t="s">
        <v>1213</v>
      </c>
      <c r="B307" t="s">
        <v>396</v>
      </c>
      <c r="C307">
        <f>VLOOKUP(Inv_Master[[#This Row],[التوجية المحاسبي]],'COA_Mtble'!C:D,2,0)</f>
        <v>20</v>
      </c>
      <c r="D307" t="s">
        <v>1168</v>
      </c>
      <c r="E307" t="s">
        <v>1201</v>
      </c>
      <c r="F307">
        <v>92</v>
      </c>
    </row>
    <row r="308" spans="1:6">
      <c r="A308" s="35" t="s">
        <v>1261</v>
      </c>
      <c r="B308" t="s">
        <v>408</v>
      </c>
      <c r="C308">
        <f>VLOOKUP(Inv_Master[[#This Row],[التوجية المحاسبي]],'COA_Mtble'!C:D,2,0)</f>
        <v>26</v>
      </c>
      <c r="D308" t="s">
        <v>1168</v>
      </c>
      <c r="E308" t="s">
        <v>1203</v>
      </c>
      <c r="F308">
        <v>86</v>
      </c>
    </row>
    <row r="309" spans="1:6">
      <c r="A309" s="34" t="s">
        <v>1350</v>
      </c>
      <c r="B309" t="s">
        <v>358</v>
      </c>
      <c r="C309">
        <f>VLOOKUP(Inv_Master[[#This Row],[التوجية المحاسبي]],'COA_Mtble'!C:D,2,0)</f>
        <v>1</v>
      </c>
      <c r="D309" t="s">
        <v>1173</v>
      </c>
      <c r="E309" t="s">
        <v>1173</v>
      </c>
      <c r="F309">
        <v>38</v>
      </c>
    </row>
    <row r="310" spans="1:6">
      <c r="A310" s="34" t="s">
        <v>1383</v>
      </c>
      <c r="B310" t="s">
        <v>420</v>
      </c>
      <c r="C310">
        <f>VLOOKUP(Inv_Master[[#This Row],[التوجية المحاسبي]],'COA_Mtble'!C:D,2,0)</f>
        <v>32</v>
      </c>
      <c r="D310" t="s">
        <v>1355</v>
      </c>
      <c r="E310" t="s">
        <v>1355</v>
      </c>
      <c r="F310">
        <v>108</v>
      </c>
    </row>
    <row r="311" spans="1:6">
      <c r="A311" s="34" t="s">
        <v>1363</v>
      </c>
      <c r="B311" t="s">
        <v>404</v>
      </c>
      <c r="C311">
        <f>VLOOKUP(Inv_Master[[#This Row],[التوجية المحاسبي]],'COA_Mtble'!C:D,2,0)</f>
        <v>24</v>
      </c>
      <c r="D311" t="s">
        <v>1292</v>
      </c>
      <c r="E311" t="s">
        <v>1292</v>
      </c>
      <c r="F311">
        <v>105</v>
      </c>
    </row>
    <row r="312" spans="1:6">
      <c r="A312" s="34" t="s">
        <v>1312</v>
      </c>
      <c r="B312" t="s">
        <v>392</v>
      </c>
      <c r="C312">
        <f>VLOOKUP(Inv_Master[[#This Row],[التوجية المحاسبي]],'COA_Mtble'!C:D,2,0)</f>
        <v>18</v>
      </c>
      <c r="D312" t="s">
        <v>1173</v>
      </c>
      <c r="E312" t="s">
        <v>1173</v>
      </c>
      <c r="F312">
        <v>69</v>
      </c>
    </row>
    <row r="313" spans="1:6">
      <c r="A313" s="34" t="s">
        <v>1199</v>
      </c>
      <c r="B313" t="s">
        <v>358</v>
      </c>
      <c r="C313">
        <f>VLOOKUP(Inv_Master[[#This Row],[التوجية المحاسبي]],'COA_Mtble'!C:D,2,0)</f>
        <v>1</v>
      </c>
      <c r="D313" t="s">
        <v>1173</v>
      </c>
      <c r="E313" t="s">
        <v>1173</v>
      </c>
      <c r="F313">
        <v>4</v>
      </c>
    </row>
    <row r="314" spans="1:6">
      <c r="A314" s="34" t="s">
        <v>1187</v>
      </c>
      <c r="B314" t="s">
        <v>406</v>
      </c>
      <c r="C314">
        <f>VLOOKUP(Inv_Master[[#This Row],[التوجية المحاسبي]],'COA_Mtble'!C:D,2,0)</f>
        <v>25</v>
      </c>
      <c r="D314" t="s">
        <v>1173</v>
      </c>
      <c r="E314" t="s">
        <v>1173</v>
      </c>
      <c r="F314">
        <v>69</v>
      </c>
    </row>
    <row r="315" spans="1:6">
      <c r="A315" s="34" t="s">
        <v>1227</v>
      </c>
      <c r="B315" t="s">
        <v>358</v>
      </c>
      <c r="C315">
        <f>VLOOKUP(Inv_Master[[#This Row],[التوجية المحاسبي]],'COA_Mtble'!C:D,2,0)</f>
        <v>1</v>
      </c>
      <c r="D315" t="s">
        <v>1173</v>
      </c>
      <c r="E315" t="s">
        <v>1173</v>
      </c>
      <c r="F315" t="s">
        <v>1164</v>
      </c>
    </row>
    <row r="316" spans="1:6">
      <c r="A316" s="34" t="s">
        <v>1245</v>
      </c>
      <c r="B316" t="s">
        <v>404</v>
      </c>
      <c r="C316">
        <f>VLOOKUP(Inv_Master[[#This Row],[التوجية المحاسبي]],'COA_Mtble'!C:D,2,0)</f>
        <v>24</v>
      </c>
      <c r="D316" t="s">
        <v>1173</v>
      </c>
      <c r="E316" t="s">
        <v>1173</v>
      </c>
      <c r="F316">
        <v>71</v>
      </c>
    </row>
    <row r="317" spans="1:6">
      <c r="A317" s="34" t="s">
        <v>1165</v>
      </c>
      <c r="B317" t="s">
        <v>420</v>
      </c>
      <c r="C317">
        <f>VLOOKUP(Inv_Master[[#This Row],[التوجية المحاسبي]],'COA_Mtble'!C:D,2,0)</f>
        <v>32</v>
      </c>
      <c r="D317" t="s">
        <v>1166</v>
      </c>
      <c r="E317" t="s">
        <v>1166</v>
      </c>
      <c r="F317" t="s">
        <v>1164</v>
      </c>
    </row>
    <row r="318" spans="1:6">
      <c r="A318" s="35" t="s">
        <v>1691</v>
      </c>
      <c r="C318" t="e">
        <f>VLOOKUP(Inv_Master[[#This Row],[التوجية المحاسبي]],'COA_Mtble'!C:D,2,0)</f>
        <v>#N/A</v>
      </c>
      <c r="F318" t="s">
        <v>1164</v>
      </c>
    </row>
    <row r="319" spans="1:6">
      <c r="A319" t="s">
        <v>1255</v>
      </c>
      <c r="B319" t="s">
        <v>398</v>
      </c>
      <c r="C319">
        <f>VLOOKUP(Inv_Master[[#This Row],[التوجية المحاسبي]],'COA_Mtble'!C:D,2,0)</f>
        <v>21</v>
      </c>
      <c r="D319" t="s">
        <v>1163</v>
      </c>
      <c r="E319" t="s">
        <v>1163</v>
      </c>
      <c r="F319">
        <v>103</v>
      </c>
    </row>
    <row r="320" spans="1:6">
      <c r="A320" t="s">
        <v>1295</v>
      </c>
      <c r="B320" t="s">
        <v>392</v>
      </c>
      <c r="C320">
        <f>VLOOKUP(Inv_Master[[#This Row],[التوجية المحاسبي]],'COA_Mtble'!C:D,2,0)</f>
        <v>18</v>
      </c>
      <c r="D320" t="s">
        <v>1182</v>
      </c>
      <c r="E320" t="s">
        <v>1182</v>
      </c>
      <c r="F320">
        <v>69</v>
      </c>
    </row>
    <row r="321" spans="1:6">
      <c r="A321" s="33" t="s">
        <v>1656</v>
      </c>
      <c r="C321" t="e">
        <f>VLOOKUP(Inv_Master[[#This Row],[التوجية المحاسبي]],'COA_Mtble'!C:D,2,0)</f>
        <v>#N/A</v>
      </c>
      <c r="F321">
        <v>115</v>
      </c>
    </row>
    <row r="322" spans="1:6">
      <c r="A322" t="s">
        <v>1305</v>
      </c>
      <c r="B322" t="s">
        <v>392</v>
      </c>
      <c r="C322">
        <f>VLOOKUP(Inv_Master[[#This Row],[التوجية المحاسبي]],'COA_Mtble'!C:D,2,0)</f>
        <v>18</v>
      </c>
      <c r="D322" t="s">
        <v>1244</v>
      </c>
      <c r="E322" t="s">
        <v>1244</v>
      </c>
      <c r="F322">
        <v>71</v>
      </c>
    </row>
    <row r="323" spans="1:6">
      <c r="A323" t="s">
        <v>1251</v>
      </c>
      <c r="B323" t="s">
        <v>398</v>
      </c>
      <c r="C323">
        <f>VLOOKUP(Inv_Master[[#This Row],[التوجية المحاسبي]],'COA_Mtble'!C:D,2,0)</f>
        <v>21</v>
      </c>
      <c r="D323" t="s">
        <v>1163</v>
      </c>
      <c r="E323" t="s">
        <v>1163</v>
      </c>
      <c r="F323">
        <v>103</v>
      </c>
    </row>
    <row r="324" spans="1:6">
      <c r="A324" t="s">
        <v>1299</v>
      </c>
      <c r="B324" t="s">
        <v>392</v>
      </c>
      <c r="C324">
        <f>VLOOKUP(Inv_Master[[#This Row],[التوجية المحاسبي]],'COA_Mtble'!C:D,2,0)</f>
        <v>18</v>
      </c>
      <c r="D324" t="s">
        <v>1168</v>
      </c>
      <c r="E324" t="s">
        <v>1171</v>
      </c>
      <c r="F324">
        <v>78</v>
      </c>
    </row>
    <row r="325" spans="1:6">
      <c r="A325" t="s">
        <v>1258</v>
      </c>
      <c r="B325" t="s">
        <v>414</v>
      </c>
      <c r="C325">
        <f>VLOOKUP(Inv_Master[[#This Row],[التوجية المحاسبي]],'COA_Mtble'!C:D,2,0)</f>
        <v>29</v>
      </c>
      <c r="D325" t="s">
        <v>1168</v>
      </c>
      <c r="E325" t="s">
        <v>1171</v>
      </c>
      <c r="F325">
        <v>74</v>
      </c>
    </row>
    <row r="326" spans="1:6">
      <c r="A326" t="s">
        <v>1404</v>
      </c>
      <c r="B326" t="s">
        <v>420</v>
      </c>
      <c r="C326">
        <f>VLOOKUP(Inv_Master[[#This Row],[التوجية المحاسبي]],'COA_Mtble'!C:D,2,0)</f>
        <v>32</v>
      </c>
      <c r="D326" t="s">
        <v>1382</v>
      </c>
      <c r="E326" t="s">
        <v>1382</v>
      </c>
      <c r="F326">
        <v>108</v>
      </c>
    </row>
    <row r="327" spans="1:6">
      <c r="A327" t="s">
        <v>1374</v>
      </c>
      <c r="B327" t="s">
        <v>402</v>
      </c>
      <c r="C327">
        <f>VLOOKUP(Inv_Master[[#This Row],[التوجية المحاسبي]],'COA_Mtble'!C:D,2,0)</f>
        <v>23</v>
      </c>
      <c r="D327" t="s">
        <v>1355</v>
      </c>
      <c r="E327" t="s">
        <v>1355</v>
      </c>
      <c r="F327">
        <v>108</v>
      </c>
    </row>
    <row r="328" spans="1:6">
      <c r="A328" t="s">
        <v>1698</v>
      </c>
      <c r="C328" t="e">
        <f>VLOOKUP(Inv_Master[[#This Row],[التوجية المحاسبي]],'COA_Mtble'!C:D,2,0)</f>
        <v>#N/A</v>
      </c>
      <c r="F328" t="s">
        <v>1164</v>
      </c>
    </row>
    <row r="329" spans="1:6">
      <c r="A329" t="s">
        <v>1699</v>
      </c>
      <c r="C329" t="e">
        <f>VLOOKUP(Inv_Master[[#This Row],[التوجية المحاسبي]],'COA_Mtble'!C:D,2,0)</f>
        <v>#N/A</v>
      </c>
      <c r="F329">
        <v>119</v>
      </c>
    </row>
    <row r="330" spans="1:6">
      <c r="A330" t="s">
        <v>1700</v>
      </c>
      <c r="C330" t="e">
        <f>VLOOKUP(Inv_Master[[#This Row],[التوجية المحاسبي]],'COA_Mtble'!C:D,2,0)</f>
        <v>#N/A</v>
      </c>
      <c r="F330">
        <v>115</v>
      </c>
    </row>
    <row r="331" spans="1:6">
      <c r="A331" t="s">
        <v>1701</v>
      </c>
      <c r="C331" t="e">
        <f>VLOOKUP(Inv_Master[[#This Row],[التوجية المحاسبي]],'COA_Mtble'!C:D,2,0)</f>
        <v>#N/A</v>
      </c>
      <c r="F331" t="s">
        <v>1544</v>
      </c>
    </row>
    <row r="332" spans="1:6">
      <c r="A332" t="s">
        <v>1702</v>
      </c>
      <c r="C332" t="e">
        <f>VLOOKUP(Inv_Master[[#This Row],[التوجية المحاسبي]],'COA_Mtble'!C:D,2,0)</f>
        <v>#N/A</v>
      </c>
      <c r="F332" t="s">
        <v>1544</v>
      </c>
    </row>
    <row r="333" spans="1:6">
      <c r="A333" t="s">
        <v>1703</v>
      </c>
      <c r="C333" t="e">
        <f>VLOOKUP(Inv_Master[[#This Row],[التوجية المحاسبي]],'COA_Mtble'!C:D,2,0)</f>
        <v>#N/A</v>
      </c>
      <c r="F333">
        <v>118</v>
      </c>
    </row>
    <row r="334" spans="1:6">
      <c r="A334" t="s">
        <v>1704</v>
      </c>
      <c r="C334" t="e">
        <f>VLOOKUP(Inv_Master[[#This Row],[التوجية المحاسبي]],'COA_Mtble'!C:D,2,0)</f>
        <v>#N/A</v>
      </c>
      <c r="F334">
        <v>115</v>
      </c>
    </row>
    <row r="335" spans="1:6">
      <c r="A335" t="s">
        <v>1705</v>
      </c>
      <c r="C335" t="e">
        <f>VLOOKUP(Inv_Master[[#This Row],[التوجية المحاسبي]],'COA_Mtble'!C:D,2,0)</f>
        <v>#N/A</v>
      </c>
      <c r="F335">
        <v>115</v>
      </c>
    </row>
    <row r="336" spans="1:6">
      <c r="A336" t="s">
        <v>1706</v>
      </c>
      <c r="C336" t="e">
        <f>VLOOKUP(Inv_Master[[#This Row],[التوجية المحاسبي]],'COA_Mtble'!C:D,2,0)</f>
        <v>#N/A</v>
      </c>
      <c r="F336">
        <v>118</v>
      </c>
    </row>
    <row r="337" spans="1:6">
      <c r="A337" t="s">
        <v>1707</v>
      </c>
      <c r="C337" t="e">
        <f>VLOOKUP(Inv_Master[[#This Row],[التوجية المحاسبي]],'COA_Mtble'!C:D,2,0)</f>
        <v>#N/A</v>
      </c>
      <c r="F337">
        <v>115</v>
      </c>
    </row>
    <row r="338" spans="1:6">
      <c r="A338" t="s">
        <v>1708</v>
      </c>
      <c r="C338" t="e">
        <f>VLOOKUP(Inv_Master[[#This Row],[التوجية المحاسبي]],'COA_Mtble'!C:D,2,0)</f>
        <v>#N/A</v>
      </c>
      <c r="F338">
        <v>118</v>
      </c>
    </row>
    <row r="339" spans="1:6">
      <c r="A339" t="s">
        <v>1709</v>
      </c>
      <c r="C339" t="e">
        <f>VLOOKUP(Inv_Master[[#This Row],[التوجية المحاسبي]],'COA_Mtble'!C:D,2,0)</f>
        <v>#N/A</v>
      </c>
      <c r="F339">
        <v>118</v>
      </c>
    </row>
    <row r="340" spans="1:6">
      <c r="A340" s="32" t="s">
        <v>1717</v>
      </c>
      <c r="C340" t="e">
        <f>VLOOKUP(Inv_Master[[#This Row],[التوجية المحاسبي]],'COA_Mtble'!C:D,2,0)</f>
        <v>#N/A</v>
      </c>
      <c r="F340" t="s">
        <v>1544</v>
      </c>
    </row>
    <row r="341" spans="1:6">
      <c r="A341" s="2" t="s">
        <v>1718</v>
      </c>
      <c r="C341" t="e">
        <f>VLOOKUP(Inv_Master[[#This Row],[التوجية المحاسبي]],'COA_Mtble'!C:D,2,0)</f>
        <v>#N/A</v>
      </c>
      <c r="F341">
        <v>118</v>
      </c>
    </row>
    <row r="342" spans="1:6">
      <c r="A342" s="32" t="s">
        <v>1719</v>
      </c>
      <c r="C342" t="e">
        <f>VLOOKUP(Inv_Master[[#This Row],[التوجية المحاسبي]],'COA_Mtble'!C:D,2,0)</f>
        <v>#N/A</v>
      </c>
      <c r="F342">
        <v>118</v>
      </c>
    </row>
    <row r="343" spans="1:6">
      <c r="A343" s="2" t="s">
        <v>1720</v>
      </c>
      <c r="C343" t="e">
        <f>VLOOKUP(Inv_Master[[#This Row],[التوجية المحاسبي]],'COA_Mtble'!C:D,2,0)</f>
        <v>#N/A</v>
      </c>
      <c r="F343">
        <v>118</v>
      </c>
    </row>
    <row r="344" spans="1:6">
      <c r="A344" t="s">
        <v>1721</v>
      </c>
      <c r="C344" t="e">
        <f>VLOOKUP(Inv_Master[[#This Row],[التوجية المحاسبي]],'COA_Mtble'!C:D,2,0)</f>
        <v>#N/A</v>
      </c>
      <c r="F344">
        <v>118</v>
      </c>
    </row>
    <row r="345" spans="1:6">
      <c r="A345" s="3" t="s">
        <v>1722</v>
      </c>
      <c r="C345" t="e">
        <f>VLOOKUP(Inv_Master[[#This Row],[التوجية المحاسبي]],'COA_Mtble'!C:D,2,0)</f>
        <v>#N/A</v>
      </c>
      <c r="F345">
        <v>118</v>
      </c>
    </row>
    <row r="346" spans="1:6">
      <c r="A346" s="37" t="s">
        <v>1723</v>
      </c>
      <c r="C346" t="e">
        <f>VLOOKUP(Inv_Master[[#This Row],[التوجية المحاسبي]],'COA_Mtble'!C:D,2,0)</f>
        <v>#N/A</v>
      </c>
      <c r="F346" t="s">
        <v>1544</v>
      </c>
    </row>
    <row r="347" spans="1:6">
      <c r="A347" t="s">
        <v>1727</v>
      </c>
      <c r="C347" t="e">
        <f>VLOOKUP(Inv_Master[[#This Row],[التوجية المحاسبي]],'COA_Mtble'!C:D,2,0)</f>
        <v>#N/A</v>
      </c>
      <c r="F347" t="s">
        <v>1586</v>
      </c>
    </row>
    <row r="348" spans="1:6">
      <c r="A348" t="s">
        <v>1728</v>
      </c>
      <c r="C348" t="e">
        <f>VLOOKUP(Inv_Master[[#This Row],[التوجية المحاسبي]],'COA_Mtble'!C:D,2,0)</f>
        <v>#N/A</v>
      </c>
      <c r="F348">
        <v>118</v>
      </c>
    </row>
    <row r="349" spans="1:6">
      <c r="A349" t="s">
        <v>1729</v>
      </c>
      <c r="C349" t="e">
        <f>VLOOKUP(Inv_Master[[#This Row],[التوجية المحاسبي]],'COA_Mtble'!C:D,2,0)</f>
        <v>#N/A</v>
      </c>
      <c r="F349">
        <v>118</v>
      </c>
    </row>
    <row r="350" spans="1:6">
      <c r="A350" t="s">
        <v>1730</v>
      </c>
      <c r="C350" t="e">
        <f>VLOOKUP(Inv_Master[[#This Row],[التوجية المحاسبي]],'COA_Mtble'!C:D,2,0)</f>
        <v>#N/A</v>
      </c>
      <c r="F350">
        <v>121</v>
      </c>
    </row>
    <row r="351" spans="1:6">
      <c r="A351" s="39" t="s">
        <v>1731</v>
      </c>
      <c r="C351" t="e">
        <f>VLOOKUP(Inv_Master[[#This Row],[التوجية المحاسبي]],'COA_Mtble'!C:D,2,0)</f>
        <v>#N/A</v>
      </c>
      <c r="F351">
        <v>123</v>
      </c>
    </row>
    <row r="352" spans="1:6">
      <c r="A352" s="39" t="s">
        <v>1732</v>
      </c>
      <c r="C352" t="e">
        <f>VLOOKUP(Inv_Master[[#This Row],[التوجية المحاسبي]],'COA_Mtble'!C:D,2,0)</f>
        <v>#N/A</v>
      </c>
      <c r="F352">
        <v>121</v>
      </c>
    </row>
    <row r="353" spans="1:6">
      <c r="A353" s="32" t="s">
        <v>1743</v>
      </c>
      <c r="C353" t="e">
        <f>VLOOKUP(Inv_Master[[#This Row],[التوجية المحاسبي]],'COA_Mtble'!C:D,2,0)</f>
        <v>#N/A</v>
      </c>
      <c r="F353">
        <v>123</v>
      </c>
    </row>
    <row r="354" spans="1:6">
      <c r="A354" t="s">
        <v>1744</v>
      </c>
      <c r="C354" t="e">
        <f>VLOOKUP(Inv_Master[[#This Row],[التوجية المحاسبي]],'COA_Mtble'!C:D,2,0)</f>
        <v>#N/A</v>
      </c>
      <c r="F354" t="s">
        <v>1164</v>
      </c>
    </row>
    <row r="355" spans="1:6">
      <c r="A355" t="s">
        <v>1760</v>
      </c>
      <c r="C355" t="e">
        <f>VLOOKUP(Inv_Master[[#This Row],[التوجية المحاسبي]],'COA_Mtble'!C:D,2,0)</f>
        <v>#N/A</v>
      </c>
      <c r="F355">
        <v>121</v>
      </c>
    </row>
    <row r="356" spans="1:6">
      <c r="A356" t="s">
        <v>1761</v>
      </c>
      <c r="C356" t="e">
        <f>VLOOKUP(Inv_Master[[#This Row],[التوجية المحاسبي]],'COA_Mtble'!C:D,2,0)</f>
        <v>#N/A</v>
      </c>
      <c r="F356">
        <v>121</v>
      </c>
    </row>
    <row r="357" spans="1:6">
      <c r="A357" t="s">
        <v>1762</v>
      </c>
      <c r="C357" t="e">
        <f>VLOOKUP(Inv_Master[[#This Row],[التوجية المحاسبي]],'COA_Mtble'!C:D,2,0)</f>
        <v>#N/A</v>
      </c>
      <c r="F357">
        <v>118</v>
      </c>
    </row>
    <row r="358" spans="1:6">
      <c r="A358" t="s">
        <v>1763</v>
      </c>
      <c r="C358" t="e">
        <f>VLOOKUP(Inv_Master[[#This Row],[التوجية المحاسبي]],'COA_Mtble'!C:D,2,0)</f>
        <v>#N/A</v>
      </c>
      <c r="F358">
        <v>121</v>
      </c>
    </row>
    <row r="359" spans="1:6">
      <c r="A359" t="s">
        <v>1764</v>
      </c>
      <c r="C359" t="e">
        <f>VLOOKUP(Inv_Master[[#This Row],[التوجية المحاسبي]],'COA_Mtble'!C:D,2,0)</f>
        <v>#N/A</v>
      </c>
      <c r="F359">
        <v>118</v>
      </c>
    </row>
    <row r="360" spans="1:6">
      <c r="A360" t="s">
        <v>1765</v>
      </c>
      <c r="C360" t="e">
        <f>VLOOKUP(Inv_Master[[#This Row],[التوجية المحاسبي]],'COA_Mtble'!C:D,2,0)</f>
        <v>#N/A</v>
      </c>
      <c r="F360">
        <v>116</v>
      </c>
    </row>
    <row r="361" spans="1:6">
      <c r="A361" s="32" t="s">
        <v>1786</v>
      </c>
      <c r="C361" t="e">
        <f>VLOOKUP(Inv_Master[[#This Row],[التوجية المحاسبي]],'COA_Mtble'!C:D,2,0)</f>
        <v>#N/A</v>
      </c>
      <c r="F361">
        <v>118</v>
      </c>
    </row>
    <row r="362" spans="1:6">
      <c r="A362" s="2" t="s">
        <v>1787</v>
      </c>
      <c r="C362" t="e">
        <f>VLOOKUP(Inv_Master[[#This Row],[التوجية المحاسبي]],'COA_Mtble'!C:D,2,0)</f>
        <v>#N/A</v>
      </c>
      <c r="F362">
        <v>118</v>
      </c>
    </row>
    <row r="363" spans="1:6">
      <c r="A363" s="2" t="s">
        <v>1788</v>
      </c>
      <c r="C363" t="e">
        <f>VLOOKUP(Inv_Master[[#This Row],[التوجية المحاسبي]],'COA_Mtble'!C:D,2,0)</f>
        <v>#N/A</v>
      </c>
      <c r="F363" s="48">
        <v>122</v>
      </c>
    </row>
    <row r="364" spans="1:6">
      <c r="A364" s="2" t="s">
        <v>1789</v>
      </c>
      <c r="C364" t="e">
        <f>VLOOKUP(Inv_Master[[#This Row],[التوجية المحاسبي]],'COA_Mtble'!C:D,2,0)</f>
        <v>#N/A</v>
      </c>
      <c r="F364" s="48">
        <v>122</v>
      </c>
    </row>
    <row r="365" spans="1:6">
      <c r="A365" s="32" t="s">
        <v>1790</v>
      </c>
      <c r="C365" t="e">
        <f>VLOOKUP(Inv_Master[[#This Row],[التوجية المحاسبي]],'COA_Mtble'!C:D,2,0)</f>
        <v>#N/A</v>
      </c>
      <c r="F365">
        <v>202</v>
      </c>
    </row>
    <row r="366" spans="1:6">
      <c r="A366" s="32" t="s">
        <v>1793</v>
      </c>
      <c r="C366" t="e">
        <f>VLOOKUP(Inv_Master[[#This Row],[التوجية المحاسبي]],'COA_Mtble'!C:D,2,0)</f>
        <v>#N/A</v>
      </c>
      <c r="F366" t="s">
        <v>1273</v>
      </c>
    </row>
    <row r="367" spans="1:6">
      <c r="A367" s="2" t="s">
        <v>1794</v>
      </c>
      <c r="C367" t="e">
        <f>VLOOKUP(Inv_Master[[#This Row],[التوجية المحاسبي]],'COA_Mtble'!C:D,2,0)</f>
        <v>#N/A</v>
      </c>
      <c r="F367" t="s">
        <v>1273</v>
      </c>
    </row>
    <row r="368" spans="1:6">
      <c r="A368" t="s">
        <v>1795</v>
      </c>
      <c r="C368" t="e">
        <f>VLOOKUP(Inv_Master[[#This Row],[التوجية المحاسبي]],'COA_Mtble'!C:D,2,0)</f>
        <v>#N/A</v>
      </c>
      <c r="F368">
        <v>124</v>
      </c>
    </row>
    <row r="369" spans="1:6">
      <c r="A369" t="s">
        <v>1796</v>
      </c>
      <c r="C369" t="e">
        <f>VLOOKUP(Inv_Master[[#This Row],[التوجية المحاسبي]],'COA_Mtble'!C:D,2,0)</f>
        <v>#N/A</v>
      </c>
      <c r="F369" t="s">
        <v>1164</v>
      </c>
    </row>
    <row r="370" spans="1:6">
      <c r="A370" t="s">
        <v>1797</v>
      </c>
      <c r="C370" t="e">
        <f>VLOOKUP(Inv_Master[[#This Row],[التوجية المحاسبي]],'COA_Mtble'!C:D,2,0)</f>
        <v>#N/A</v>
      </c>
      <c r="F370">
        <v>202</v>
      </c>
    </row>
    <row r="371" spans="1:6">
      <c r="A371" t="s">
        <v>1804</v>
      </c>
      <c r="C371" t="e">
        <f>VLOOKUP(Inv_Master[[#This Row],[التوجية المحاسبي]],'COA_Mtble'!C:D,2,0)</f>
        <v>#N/A</v>
      </c>
      <c r="F371">
        <v>124</v>
      </c>
    </row>
    <row r="372" spans="1:6">
      <c r="A372" t="s">
        <v>1805</v>
      </c>
      <c r="C372" t="e">
        <f>VLOOKUP(Inv_Master[[#This Row],[التوجية المحاسبي]],'COA_Mtble'!C:D,2,0)</f>
        <v>#N/A</v>
      </c>
      <c r="F372">
        <v>124</v>
      </c>
    </row>
    <row r="373" spans="1:6">
      <c r="A373" t="s">
        <v>1806</v>
      </c>
      <c r="C373" t="e">
        <f>VLOOKUP(Inv_Master[[#This Row],[التوجية المحاسبي]],'COA_Mtble'!C:D,2,0)</f>
        <v>#N/A</v>
      </c>
      <c r="F373">
        <v>124</v>
      </c>
    </row>
    <row r="374" spans="1:6">
      <c r="A374" t="s">
        <v>1809</v>
      </c>
      <c r="C374" t="e">
        <f>VLOOKUP(Inv_Master[[#This Row],[التوجية المحاسبي]],'COA_Mtble'!C:D,2,0)</f>
        <v>#N/A</v>
      </c>
      <c r="F374">
        <v>124</v>
      </c>
    </row>
    <row r="375" spans="1:6">
      <c r="A375" t="s">
        <v>1815</v>
      </c>
      <c r="C375" t="e">
        <f>VLOOKUP(Inv_Master[[#This Row],[التوجية المحاسبي]],'COA_Mtble'!C:D,2,0)</f>
        <v>#N/A</v>
      </c>
      <c r="F375">
        <v>124</v>
      </c>
    </row>
    <row r="376" spans="1:6">
      <c r="A376" t="s">
        <v>1831</v>
      </c>
      <c r="C376" t="e">
        <f>VLOOKUP(Inv_Master[[#This Row],[التوجية المحاسبي]],'COA_Mtble'!C:D,2,0)</f>
        <v>#N/A</v>
      </c>
      <c r="F376">
        <v>125</v>
      </c>
    </row>
    <row r="377" spans="1:6">
      <c r="A377" t="s">
        <v>1832</v>
      </c>
      <c r="C377" t="e">
        <f>VLOOKUP(Inv_Master[[#This Row],[التوجية المحاسبي]],'COA_Mtble'!C:D,2,0)</f>
        <v>#N/A</v>
      </c>
      <c r="F377">
        <v>204</v>
      </c>
    </row>
    <row r="378" spans="1:6">
      <c r="A378" t="s">
        <v>1833</v>
      </c>
      <c r="C378" t="e">
        <f>VLOOKUP(Inv_Master[[#This Row],[التوجية المحاسبي]],'COA_Mtble'!C:D,2,0)</f>
        <v>#N/A</v>
      </c>
      <c r="F378">
        <v>122</v>
      </c>
    </row>
    <row r="379" spans="1:6">
      <c r="A379" t="s">
        <v>1834</v>
      </c>
      <c r="C379" t="e">
        <f>VLOOKUP(Inv_Master[[#This Row],[التوجية المحاسبي]],'COA_Mtble'!C:D,2,0)</f>
        <v>#N/A</v>
      </c>
      <c r="F379">
        <v>203</v>
      </c>
    </row>
    <row r="380" spans="1:6">
      <c r="A380" t="s">
        <v>1835</v>
      </c>
      <c r="C380" t="e">
        <f>VLOOKUP(Inv_Master[[#This Row],[التوجية المحاسبي]],'COA_Mtble'!C:D,2,0)</f>
        <v>#N/A</v>
      </c>
      <c r="F380">
        <v>202</v>
      </c>
    </row>
    <row r="381" spans="1:6">
      <c r="A381" t="s">
        <v>1836</v>
      </c>
      <c r="C381" t="e">
        <f>VLOOKUP(Inv_Master[[#This Row],[التوجية المحاسبي]],'COA_Mtble'!C:D,2,0)</f>
        <v>#N/A</v>
      </c>
      <c r="F381">
        <v>202</v>
      </c>
    </row>
    <row r="382" spans="1:6">
      <c r="A382" t="s">
        <v>1837</v>
      </c>
      <c r="C382" t="e">
        <f>VLOOKUP(Inv_Master[[#This Row],[التوجية المحاسبي]],'COA_Mtble'!C:D,2,0)</f>
        <v>#N/A</v>
      </c>
      <c r="F382">
        <v>122</v>
      </c>
    </row>
    <row r="383" spans="1:6">
      <c r="A383" t="s">
        <v>1838</v>
      </c>
      <c r="C383" t="e">
        <f>VLOOKUP(Inv_Master[[#This Row],[التوجية المحاسبي]],'COA_Mtble'!C:D,2,0)</f>
        <v>#N/A</v>
      </c>
      <c r="F383" t="s">
        <v>1774</v>
      </c>
    </row>
    <row r="384" spans="1:6">
      <c r="A384" t="s">
        <v>1839</v>
      </c>
      <c r="C384" t="e">
        <f>VLOOKUP(Inv_Master[[#This Row],[التوجية المحاسبي]],'COA_Mtble'!C:D,2,0)</f>
        <v>#N/A</v>
      </c>
      <c r="F384">
        <v>125</v>
      </c>
    </row>
    <row r="385" spans="1:6">
      <c r="A385" t="s">
        <v>2079</v>
      </c>
      <c r="C385" t="e">
        <f>VLOOKUP(Inv_Master[[#This Row],[التوجية المحاسبي]],'COA_Mtble'!C:D,2,0)</f>
        <v>#N/A</v>
      </c>
      <c r="F385">
        <v>203</v>
      </c>
    </row>
    <row r="386" spans="1:6">
      <c r="A386" s="30" t="s">
        <v>2080</v>
      </c>
      <c r="C386" t="e">
        <f>VLOOKUP(Inv_Master[[#This Row],[التوجية المحاسبي]],'COA_Mtble'!C:D,2,0)</f>
        <v>#N/A</v>
      </c>
      <c r="F386">
        <v>207</v>
      </c>
    </row>
    <row r="387" spans="1:6" ht="15.75" thickBot="1">
      <c r="A387" s="68" t="s">
        <v>2081</v>
      </c>
      <c r="C387" t="e">
        <f>VLOOKUP(Inv_Master[[#This Row],[التوجية المحاسبي]],'COA_Mtble'!C:D,2,0)</f>
        <v>#N/A</v>
      </c>
      <c r="F387">
        <v>202</v>
      </c>
    </row>
    <row r="388" spans="1:6" ht="15.75" thickTop="1">
      <c r="A388" t="s">
        <v>2093</v>
      </c>
      <c r="C388" t="e">
        <f>VLOOKUP(Inv_Master[[#This Row],[التوجية المحاسبي]],'COA_Mtble'!C:D,2,0)</f>
        <v>#N/A</v>
      </c>
      <c r="F388">
        <v>209</v>
      </c>
    </row>
    <row r="389" spans="1:6">
      <c r="A389" t="s">
        <v>2094</v>
      </c>
      <c r="C389" t="e">
        <f>VLOOKUP(Inv_Master[[#This Row],[التوجية المحاسبي]],'COA_Mtble'!C:D,2,0)</f>
        <v>#N/A</v>
      </c>
      <c r="F389">
        <v>209</v>
      </c>
    </row>
    <row r="390" spans="1:6">
      <c r="A390" t="s">
        <v>2095</v>
      </c>
      <c r="C390" t="e">
        <f>VLOOKUP(Inv_Master[[#This Row],[التوجية المحاسبي]],'COA_Mtble'!C:D,2,0)</f>
        <v>#N/A</v>
      </c>
      <c r="F390">
        <v>209</v>
      </c>
    </row>
    <row r="391" spans="1:6">
      <c r="A391" t="s">
        <v>2096</v>
      </c>
      <c r="C391" t="e">
        <f>VLOOKUP(Inv_Master[[#This Row],[التوجية المحاسبي]],'COA_Mtble'!C:D,2,0)</f>
        <v>#N/A</v>
      </c>
      <c r="F391">
        <v>209</v>
      </c>
    </row>
    <row r="392" spans="1:6">
      <c r="A392" t="s">
        <v>2097</v>
      </c>
      <c r="C392" t="e">
        <f>VLOOKUP(Inv_Master[[#This Row],[التوجية المحاسبي]],'COA_Mtble'!C:D,2,0)</f>
        <v>#N/A</v>
      </c>
      <c r="F392">
        <v>210</v>
      </c>
    </row>
    <row r="393" spans="1:6">
      <c r="A393" t="s">
        <v>2098</v>
      </c>
      <c r="C393" t="e">
        <f>VLOOKUP(Inv_Master[[#This Row],[التوجية المحاسبي]],'COA_Mtble'!C:D,2,0)</f>
        <v>#N/A</v>
      </c>
      <c r="F393">
        <v>204</v>
      </c>
    </row>
    <row r="394" spans="1:6">
      <c r="A394" t="s">
        <v>2099</v>
      </c>
      <c r="C394" t="e">
        <f>VLOOKUP(Inv_Master[[#This Row],[التوجية المحاسبي]],'COA_Mtble'!C:D,2,0)</f>
        <v>#N/A</v>
      </c>
      <c r="F394">
        <v>204</v>
      </c>
    </row>
    <row r="395" spans="1:6">
      <c r="A395" t="s">
        <v>2100</v>
      </c>
      <c r="C395" t="e">
        <f>VLOOKUP(Inv_Master[[#This Row],[التوجية المحاسبي]],'COA_Mtble'!C:D,2,0)</f>
        <v>#N/A</v>
      </c>
      <c r="F395">
        <v>207</v>
      </c>
    </row>
    <row r="396" spans="1:6">
      <c r="A396" t="s">
        <v>2101</v>
      </c>
      <c r="C396" t="e">
        <f>VLOOKUP(Inv_Master[[#This Row],[التوجية المحاسبي]],'COA_Mtble'!C:D,2,0)</f>
        <v>#N/A</v>
      </c>
      <c r="F396">
        <v>207</v>
      </c>
    </row>
    <row r="397" spans="1:6">
      <c r="A397" t="s">
        <v>2102</v>
      </c>
      <c r="C397" t="e">
        <f>VLOOKUP(Inv_Master[[#This Row],[التوجية المحاسبي]],'COA_Mtble'!C:D,2,0)</f>
        <v>#N/A</v>
      </c>
      <c r="F397">
        <v>207</v>
      </c>
    </row>
    <row r="398" spans="1:6">
      <c r="A398" t="s">
        <v>2103</v>
      </c>
      <c r="C398" t="e">
        <f>VLOOKUP(Inv_Master[[#This Row],[التوجية المحاسبي]],'COA_Mtble'!C:D,2,0)</f>
        <v>#N/A</v>
      </c>
      <c r="F398">
        <v>207</v>
      </c>
    </row>
    <row r="399" spans="1:6">
      <c r="A399" t="s">
        <v>2104</v>
      </c>
      <c r="C399" t="e">
        <f>VLOOKUP(Inv_Master[[#This Row],[التوجية المحاسبي]],'COA_Mtble'!C:D,2,0)</f>
        <v>#N/A</v>
      </c>
      <c r="F399">
        <v>207</v>
      </c>
    </row>
    <row r="400" spans="1:6">
      <c r="A400" t="s">
        <v>2105</v>
      </c>
      <c r="C400" t="e">
        <f>VLOOKUP(Inv_Master[[#This Row],[التوجية المحاسبي]],'COA_Mtble'!C:D,2,0)</f>
        <v>#N/A</v>
      </c>
      <c r="F400">
        <v>207</v>
      </c>
    </row>
    <row r="401" spans="1:6">
      <c r="A401" t="s">
        <v>2106</v>
      </c>
      <c r="C401" t="e">
        <f>VLOOKUP(Inv_Master[[#This Row],[التوجية المحاسبي]],'COA_Mtble'!C:D,2,0)</f>
        <v>#N/A</v>
      </c>
      <c r="F401">
        <v>207</v>
      </c>
    </row>
    <row r="402" spans="1:6">
      <c r="A402" t="s">
        <v>2107</v>
      </c>
      <c r="C402" t="e">
        <f>VLOOKUP(Inv_Master[[#This Row],[التوجية المحاسبي]],'COA_Mtble'!C:D,2,0)</f>
        <v>#N/A</v>
      </c>
      <c r="F402">
        <v>207</v>
      </c>
    </row>
    <row r="403" spans="1:6">
      <c r="A403" t="s">
        <v>2108</v>
      </c>
      <c r="C403" t="e">
        <f>VLOOKUP(Inv_Master[[#This Row],[التوجية المحاسبي]],'COA_Mtble'!C:D,2,0)</f>
        <v>#N/A</v>
      </c>
      <c r="F403">
        <v>209</v>
      </c>
    </row>
    <row r="404" spans="1:6">
      <c r="A404" t="s">
        <v>2109</v>
      </c>
      <c r="C404" t="e">
        <f>VLOOKUP(Inv_Master[[#This Row],[التوجية المحاسبي]],'COA_Mtble'!C:D,2,0)</f>
        <v>#N/A</v>
      </c>
      <c r="F404">
        <v>207</v>
      </c>
    </row>
    <row r="405" spans="1:6">
      <c r="A405" t="s">
        <v>2110</v>
      </c>
      <c r="C405" t="e">
        <f>VLOOKUP(Inv_Master[[#This Row],[التوجية المحاسبي]],'COA_Mtble'!C:D,2,0)</f>
        <v>#N/A</v>
      </c>
      <c r="F405">
        <v>209</v>
      </c>
    </row>
    <row r="406" spans="1:6">
      <c r="A406" t="s">
        <v>2119</v>
      </c>
      <c r="C406" t="e">
        <f>VLOOKUP(Inv_Master[[#This Row],[التوجية المحاسبي]],'COA_Mtble'!C:D,2,0)</f>
        <v>#N/A</v>
      </c>
      <c r="F406">
        <v>203</v>
      </c>
    </row>
    <row r="407" spans="1:6">
      <c r="A407" t="s">
        <v>2120</v>
      </c>
      <c r="C407" t="e">
        <f>VLOOKUP(Inv_Master[[#This Row],[التوجية المحاسبي]],'COA_Mtble'!C:D,2,0)</f>
        <v>#N/A</v>
      </c>
      <c r="F407">
        <v>210</v>
      </c>
    </row>
    <row r="408" spans="1:6">
      <c r="A408" t="s">
        <v>2121</v>
      </c>
      <c r="C408" t="e">
        <f>VLOOKUP(Inv_Master[[#This Row],[التوجية المحاسبي]],'COA_Mtble'!C:D,2,0)</f>
        <v>#N/A</v>
      </c>
      <c r="F408">
        <v>209</v>
      </c>
    </row>
    <row r="409" spans="1:6">
      <c r="A409" t="s">
        <v>2122</v>
      </c>
      <c r="C409" t="e">
        <f>VLOOKUP(Inv_Master[[#This Row],[التوجية المحاسبي]],'COA_Mtble'!C:D,2,0)</f>
        <v>#N/A</v>
      </c>
      <c r="F409">
        <v>202</v>
      </c>
    </row>
    <row r="410" spans="1:6">
      <c r="A410" t="s">
        <v>2123</v>
      </c>
      <c r="C410" t="e">
        <f>VLOOKUP(Inv_Master[[#This Row],[التوجية المحاسبي]],'COA_Mtble'!C:D,2,0)</f>
        <v>#N/A</v>
      </c>
      <c r="F410">
        <v>206</v>
      </c>
    </row>
    <row r="411" spans="1:6">
      <c r="A411" t="s">
        <v>2124</v>
      </c>
      <c r="C411" t="e">
        <f>VLOOKUP(Inv_Master[[#This Row],[التوجية المحاسبي]],'COA_Mtble'!C:D,2,0)</f>
        <v>#N/A</v>
      </c>
      <c r="F411">
        <v>202</v>
      </c>
    </row>
    <row r="412" spans="1:6">
      <c r="A412" t="s">
        <v>2125</v>
      </c>
      <c r="C412" t="e">
        <f>VLOOKUP(Inv_Master[[#This Row],[التوجية المحاسبي]],'COA_Mtble'!C:D,2,0)</f>
        <v>#N/A</v>
      </c>
      <c r="F412">
        <v>204</v>
      </c>
    </row>
    <row r="413" spans="1:6">
      <c r="A413" t="s">
        <v>2126</v>
      </c>
      <c r="C413" t="e">
        <f>VLOOKUP(Inv_Master[[#This Row],[التوجية المحاسبي]],'COA_Mtble'!C:D,2,0)</f>
        <v>#N/A</v>
      </c>
      <c r="F413">
        <v>203</v>
      </c>
    </row>
    <row r="414" spans="1:6">
      <c r="A414" t="s">
        <v>2128</v>
      </c>
      <c r="C414" t="e">
        <f>VLOOKUP(Inv_Master[[#This Row],[التوجية المحاسبي]],'COA_Mtble'!C:D,2,0)</f>
        <v>#N/A</v>
      </c>
      <c r="F414">
        <v>216</v>
      </c>
    </row>
    <row r="415" spans="1:6">
      <c r="A415" t="s">
        <v>2129</v>
      </c>
      <c r="C415" t="e">
        <f>VLOOKUP(Inv_Master[[#This Row],[التوجية المحاسبي]],'COA_Mtble'!C:D,2,0)</f>
        <v>#N/A</v>
      </c>
      <c r="F415">
        <v>202</v>
      </c>
    </row>
    <row r="416" spans="1:6">
      <c r="A416" t="s">
        <v>2130</v>
      </c>
      <c r="C416" t="e">
        <f>VLOOKUP(Inv_Master[[#This Row],[التوجية المحاسبي]],'COA_Mtble'!C:D,2,0)</f>
        <v>#N/A</v>
      </c>
      <c r="F416">
        <v>203</v>
      </c>
    </row>
    <row r="417" spans="1:6">
      <c r="A417" t="s">
        <v>2131</v>
      </c>
      <c r="C417" t="e">
        <f>VLOOKUP(Inv_Master[[#This Row],[التوجية المحاسبي]],'COA_Mtble'!C:D,2,0)</f>
        <v>#N/A</v>
      </c>
      <c r="F417">
        <v>207</v>
      </c>
    </row>
    <row r="418" spans="1:6">
      <c r="A418" t="s">
        <v>2132</v>
      </c>
      <c r="C418" t="e">
        <f>VLOOKUP(Inv_Master[[#This Row],[التوجية المحاسبي]],'COA_Mtble'!C:D,2,0)</f>
        <v>#N/A</v>
      </c>
      <c r="F418">
        <v>125</v>
      </c>
    </row>
    <row r="419" spans="1:6">
      <c r="A419" t="s">
        <v>2133</v>
      </c>
      <c r="C419" t="e">
        <f>VLOOKUP(Inv_Master[[#This Row],[التوجية المحاسبي]],'COA_Mtble'!C:D,2,0)</f>
        <v>#N/A</v>
      </c>
      <c r="F419">
        <v>209</v>
      </c>
    </row>
    <row r="420" spans="1:6">
      <c r="A420" t="s">
        <v>2136</v>
      </c>
      <c r="C420" t="e">
        <f>VLOOKUP(Inv_Master[[#This Row],[التوجية المحاسبي]],'COA_Mtble'!C:D,2,0)</f>
        <v>#N/A</v>
      </c>
      <c r="F420">
        <v>210</v>
      </c>
    </row>
    <row r="421" spans="1:6">
      <c r="A421" t="s">
        <v>2137</v>
      </c>
      <c r="C421" t="e">
        <f>VLOOKUP(Inv_Master[[#This Row],[التوجية المحاسبي]],'COA_Mtble'!C:D,2,0)</f>
        <v>#N/A</v>
      </c>
      <c r="F421">
        <v>205</v>
      </c>
    </row>
    <row r="422" spans="1:6">
      <c r="A422" t="s">
        <v>2138</v>
      </c>
      <c r="C422" t="e">
        <f>VLOOKUP(Inv_Master[[#This Row],[التوجية المحاسبي]],'COA_Mtble'!C:D,2,0)</f>
        <v>#N/A</v>
      </c>
      <c r="F422">
        <v>204</v>
      </c>
    </row>
    <row r="423" spans="1:6">
      <c r="A423" t="s">
        <v>2139</v>
      </c>
      <c r="C423" t="e">
        <f>VLOOKUP(Inv_Master[[#This Row],[التوجية المحاسبي]],'COA_Mtble'!C:D,2,0)</f>
        <v>#N/A</v>
      </c>
      <c r="F423">
        <v>122</v>
      </c>
    </row>
    <row r="424" spans="1:6">
      <c r="A424" t="s">
        <v>2140</v>
      </c>
      <c r="C424" t="e">
        <f>VLOOKUP(Inv_Master[[#This Row],[التوجية المحاسبي]],'COA_Mtble'!C:D,2,0)</f>
        <v>#N/A</v>
      </c>
      <c r="F424">
        <v>124</v>
      </c>
    </row>
    <row r="425" spans="1:6">
      <c r="A425" t="s">
        <v>2141</v>
      </c>
      <c r="C425" t="e">
        <f>VLOOKUP(Inv_Master[[#This Row],[التوجية المحاسبي]],'COA_Mtble'!C:D,2,0)</f>
        <v>#N/A</v>
      </c>
      <c r="F425">
        <v>209</v>
      </c>
    </row>
    <row r="426" spans="1:6">
      <c r="A426" t="s">
        <v>2142</v>
      </c>
      <c r="C426" t="e">
        <f>VLOOKUP(Inv_Master[[#This Row],[التوجية المحاسبي]],'COA_Mtble'!C:D,2,0)</f>
        <v>#N/A</v>
      </c>
      <c r="F426">
        <v>121</v>
      </c>
    </row>
    <row r="427" spans="1:6">
      <c r="A427" t="s">
        <v>2127</v>
      </c>
      <c r="C427" t="e">
        <f>VLOOKUP(Inv_Master[[#This Row],[التوجية المحاسبي]],'COA_Mtble'!C:D,2,0)</f>
        <v>#N/A</v>
      </c>
      <c r="F427">
        <v>210</v>
      </c>
    </row>
    <row r="428" spans="1:6">
      <c r="A428" t="s">
        <v>2143</v>
      </c>
      <c r="C428" t="e">
        <f>VLOOKUP(Inv_Master[[#This Row],[التوجية المحاسبي]],'COA_Mtble'!C:D,2,0)</f>
        <v>#N/A</v>
      </c>
      <c r="F428">
        <v>217</v>
      </c>
    </row>
    <row r="429" spans="1:6">
      <c r="A429" t="s">
        <v>2144</v>
      </c>
      <c r="C429" t="e">
        <f>VLOOKUP(Inv_Master[[#This Row],[التوجية المحاسبي]],'COA_Mtble'!C:D,2,0)</f>
        <v>#N/A</v>
      </c>
      <c r="F429">
        <v>216</v>
      </c>
    </row>
    <row r="430" spans="1:6">
      <c r="A430" t="s">
        <v>2145</v>
      </c>
      <c r="C430" t="e">
        <f>VLOOKUP(Inv_Master[[#This Row],[التوجية المحاسبي]],'COA_Mtble'!C:D,2,0)</f>
        <v>#N/A</v>
      </c>
      <c r="F430">
        <v>214</v>
      </c>
    </row>
    <row r="431" spans="1:6">
      <c r="A431" t="s">
        <v>2146</v>
      </c>
      <c r="C431" t="e">
        <f>VLOOKUP(Inv_Master[[#This Row],[التوجية المحاسبي]],'COA_Mtble'!C:D,2,0)</f>
        <v>#N/A</v>
      </c>
      <c r="F431">
        <v>207</v>
      </c>
    </row>
    <row r="432" spans="1:6">
      <c r="A432" t="s">
        <v>2147</v>
      </c>
      <c r="C432" t="e">
        <f>VLOOKUP(Inv_Master[[#This Row],[التوجية المحاسبي]],'COA_Mtble'!C:D,2,0)</f>
        <v>#N/A</v>
      </c>
      <c r="F432">
        <v>207</v>
      </c>
    </row>
    <row r="433" spans="1:6">
      <c r="A433" t="s">
        <v>2148</v>
      </c>
      <c r="C433" t="e">
        <f>VLOOKUP(Inv_Master[[#This Row],[التوجية المحاسبي]],'COA_Mtble'!C:D,2,0)</f>
        <v>#N/A</v>
      </c>
      <c r="F433">
        <v>209</v>
      </c>
    </row>
    <row r="434" spans="1:6">
      <c r="A434" t="s">
        <v>2149</v>
      </c>
      <c r="C434" t="e">
        <f>VLOOKUP(Inv_Master[[#This Row],[التوجية المحاسبي]],'COA_Mtble'!C:D,2,0)</f>
        <v>#N/A</v>
      </c>
      <c r="F434">
        <v>210</v>
      </c>
    </row>
    <row r="435" spans="1:6">
      <c r="A435" t="s">
        <v>2150</v>
      </c>
      <c r="C435" t="e">
        <f>VLOOKUP(Inv_Master[[#This Row],[التوجية المحاسبي]],'COA_Mtble'!C:D,2,0)</f>
        <v>#N/A</v>
      </c>
      <c r="F435">
        <v>210</v>
      </c>
    </row>
    <row r="436" spans="1:6">
      <c r="A436" t="s">
        <v>2151</v>
      </c>
      <c r="C436" t="e">
        <f>VLOOKUP(Inv_Master[[#This Row],[التوجية المحاسبي]],'COA_Mtble'!C:D,2,0)</f>
        <v>#N/A</v>
      </c>
      <c r="F436">
        <v>210</v>
      </c>
    </row>
    <row r="437" spans="1:6">
      <c r="A437" t="s">
        <v>2152</v>
      </c>
      <c r="C437" t="e">
        <f>VLOOKUP(Inv_Master[[#This Row],[التوجية المحاسبي]],'COA_Mtble'!C:D,2,0)</f>
        <v>#N/A</v>
      </c>
      <c r="F437">
        <v>210</v>
      </c>
    </row>
    <row r="438" spans="1:6">
      <c r="A438" t="s">
        <v>2153</v>
      </c>
      <c r="C438" t="e">
        <f>VLOOKUP(Inv_Master[[#This Row],[التوجية المحاسبي]],'COA_Mtble'!C:D,2,0)</f>
        <v>#N/A</v>
      </c>
      <c r="F438">
        <v>202</v>
      </c>
    </row>
    <row r="439" spans="1:6">
      <c r="A439" t="s">
        <v>2154</v>
      </c>
      <c r="C439" t="e">
        <f>VLOOKUP(Inv_Master[[#This Row],[التوجية المحاسبي]],'COA_Mtble'!C:D,2,0)</f>
        <v>#N/A</v>
      </c>
      <c r="F439">
        <v>203</v>
      </c>
    </row>
    <row r="440" spans="1:6">
      <c r="A440" t="s">
        <v>2155</v>
      </c>
      <c r="C440" t="e">
        <f>VLOOKUP(Inv_Master[[#This Row],[التوجية المحاسبي]],'COA_Mtble'!C:D,2,0)</f>
        <v>#N/A</v>
      </c>
      <c r="F440">
        <v>209</v>
      </c>
    </row>
    <row r="441" spans="1:6">
      <c r="A441" t="s">
        <v>2156</v>
      </c>
      <c r="C441" t="e">
        <f>VLOOKUP(Inv_Master[[#This Row],[التوجية المحاسبي]],'COA_Mtble'!C:D,2,0)</f>
        <v>#N/A</v>
      </c>
      <c r="F441">
        <v>206</v>
      </c>
    </row>
    <row r="442" spans="1:6">
      <c r="A442" t="s">
        <v>2157</v>
      </c>
      <c r="C442" t="e">
        <f>VLOOKUP(Inv_Master[[#This Row],[التوجية المحاسبي]],'COA_Mtble'!C:D,2,0)</f>
        <v>#N/A</v>
      </c>
      <c r="F442">
        <v>203</v>
      </c>
    </row>
    <row r="443" spans="1:6">
      <c r="A443" t="s">
        <v>2158</v>
      </c>
      <c r="C443" t="e">
        <f>VLOOKUP(Inv_Master[[#This Row],[التوجية المحاسبي]],'COA_Mtble'!C:D,2,0)</f>
        <v>#N/A</v>
      </c>
      <c r="F443">
        <v>202</v>
      </c>
    </row>
    <row r="444" spans="1:6">
      <c r="A444" t="s">
        <v>2159</v>
      </c>
      <c r="C444" t="e">
        <f>VLOOKUP(Inv_Master[[#This Row],[التوجية المحاسبي]],'COA_Mtble'!C:D,2,0)</f>
        <v>#N/A</v>
      </c>
      <c r="F444">
        <v>202</v>
      </c>
    </row>
    <row r="445" spans="1:6">
      <c r="A445" t="s">
        <v>2160</v>
      </c>
      <c r="C445" t="e">
        <f>VLOOKUP(Inv_Master[[#This Row],[التوجية المحاسبي]],'COA_Mtble'!C:D,2,0)</f>
        <v>#N/A</v>
      </c>
      <c r="F445">
        <v>204</v>
      </c>
    </row>
    <row r="446" spans="1:6">
      <c r="A446" s="32" t="s">
        <v>2172</v>
      </c>
      <c r="B446" s="32" t="s">
        <v>821</v>
      </c>
      <c r="C446" s="73">
        <v>228</v>
      </c>
      <c r="F446">
        <v>203</v>
      </c>
    </row>
    <row r="447" spans="1:6">
      <c r="A447" s="2" t="s">
        <v>2173</v>
      </c>
      <c r="B447" s="2" t="s">
        <v>834</v>
      </c>
      <c r="C447" s="72">
        <v>84907.199999999997</v>
      </c>
      <c r="F447">
        <v>217</v>
      </c>
    </row>
    <row r="448" spans="1:6">
      <c r="A448" s="32" t="s">
        <v>2174</v>
      </c>
      <c r="B448" s="32" t="s">
        <v>834</v>
      </c>
      <c r="C448" s="73">
        <v>338762.4</v>
      </c>
      <c r="F448">
        <v>216</v>
      </c>
    </row>
    <row r="449" spans="1:6">
      <c r="A449" s="2" t="s">
        <v>2175</v>
      </c>
      <c r="B449" s="2" t="s">
        <v>1812</v>
      </c>
      <c r="C449" s="72">
        <v>56654.999190000002</v>
      </c>
      <c r="F449">
        <v>202</v>
      </c>
    </row>
    <row r="450" spans="1:6">
      <c r="A450" s="32" t="s">
        <v>2176</v>
      </c>
      <c r="B450" s="32" t="s">
        <v>813</v>
      </c>
      <c r="C450" s="73">
        <v>290415</v>
      </c>
      <c r="F450">
        <v>214</v>
      </c>
    </row>
    <row r="451" spans="1:6">
      <c r="A451" s="2" t="s">
        <v>2177</v>
      </c>
      <c r="B451" s="2" t="s">
        <v>813</v>
      </c>
      <c r="C451" s="72">
        <v>43320</v>
      </c>
      <c r="F451">
        <v>203</v>
      </c>
    </row>
    <row r="452" spans="1:6">
      <c r="A452" s="32" t="s">
        <v>2178</v>
      </c>
      <c r="B452" s="32" t="s">
        <v>829</v>
      </c>
      <c r="C452" s="73">
        <v>47880</v>
      </c>
      <c r="F452">
        <v>217</v>
      </c>
    </row>
    <row r="453" spans="1:6">
      <c r="A453" s="2" t="s">
        <v>2179</v>
      </c>
      <c r="B453" s="2" t="s">
        <v>861</v>
      </c>
      <c r="C453" s="72">
        <v>605019.24959999998</v>
      </c>
      <c r="F453">
        <v>203</v>
      </c>
    </row>
    <row r="454" spans="1:6">
      <c r="A454" s="32" t="s">
        <v>2180</v>
      </c>
      <c r="B454" s="32" t="s">
        <v>841</v>
      </c>
      <c r="C454" s="73">
        <v>7735</v>
      </c>
      <c r="F454">
        <v>209</v>
      </c>
    </row>
    <row r="455" spans="1:6">
      <c r="A455" s="2" t="s">
        <v>2181</v>
      </c>
      <c r="B455" s="2" t="s">
        <v>1606</v>
      </c>
      <c r="C455" s="72">
        <v>23442.047999999999</v>
      </c>
      <c r="F455">
        <v>203</v>
      </c>
    </row>
    <row r="456" spans="1:6">
      <c r="A456" s="32" t="s">
        <v>2182</v>
      </c>
      <c r="B456" s="32" t="s">
        <v>1606</v>
      </c>
      <c r="C456" s="73">
        <v>7890.6239999999998</v>
      </c>
      <c r="F456">
        <v>203</v>
      </c>
    </row>
    <row r="457" spans="1:6">
      <c r="A457" s="2" t="s">
        <v>2183</v>
      </c>
      <c r="B457" s="2" t="s">
        <v>1871</v>
      </c>
      <c r="C457" s="72">
        <v>21359.95</v>
      </c>
      <c r="F457">
        <v>203</v>
      </c>
    </row>
    <row r="458" spans="1:6">
      <c r="A458" s="32" t="s">
        <v>2184</v>
      </c>
      <c r="B458" s="32" t="s">
        <v>1825</v>
      </c>
      <c r="C458" s="73">
        <v>22800</v>
      </c>
      <c r="F458">
        <v>202</v>
      </c>
    </row>
    <row r="459" spans="1:6">
      <c r="A459" s="2" t="s">
        <v>2185</v>
      </c>
      <c r="B459" s="2" t="s">
        <v>2092</v>
      </c>
      <c r="C459" s="72">
        <v>8664</v>
      </c>
      <c r="F459">
        <v>214</v>
      </c>
    </row>
    <row r="460" spans="1:6">
      <c r="A460" s="32" t="s">
        <v>2186</v>
      </c>
      <c r="B460" s="32" t="s">
        <v>2076</v>
      </c>
      <c r="C460" s="73">
        <v>908835.47400000005</v>
      </c>
      <c r="F460">
        <v>202</v>
      </c>
    </row>
    <row r="461" spans="1:6">
      <c r="A461" s="2" t="s">
        <v>2187</v>
      </c>
      <c r="B461" s="2" t="s">
        <v>836</v>
      </c>
      <c r="C461" s="72">
        <v>115140</v>
      </c>
      <c r="F461">
        <v>209</v>
      </c>
    </row>
    <row r="462" spans="1:6">
      <c r="A462" s="32" t="s">
        <v>2188</v>
      </c>
      <c r="B462" s="32" t="s">
        <v>863</v>
      </c>
      <c r="C462" s="73">
        <v>303000</v>
      </c>
      <c r="F462">
        <v>201</v>
      </c>
    </row>
    <row r="463" spans="1:6">
      <c r="A463" s="2" t="s">
        <v>2189</v>
      </c>
      <c r="B463" s="2" t="s">
        <v>863</v>
      </c>
      <c r="C463" s="72">
        <v>50640</v>
      </c>
      <c r="F463">
        <v>207</v>
      </c>
    </row>
    <row r="464" spans="1:6">
      <c r="A464" s="32" t="s">
        <v>2190</v>
      </c>
      <c r="B464" s="32" t="s">
        <v>863</v>
      </c>
      <c r="C464" s="73">
        <v>21500</v>
      </c>
      <c r="F464">
        <v>207</v>
      </c>
    </row>
    <row r="465" spans="1:6">
      <c r="A465" s="2" t="s">
        <v>2191</v>
      </c>
      <c r="B465" s="2" t="s">
        <v>863</v>
      </c>
      <c r="C465" s="72">
        <v>12950</v>
      </c>
      <c r="F465">
        <v>203</v>
      </c>
    </row>
    <row r="466" spans="1:6">
      <c r="A466" s="32" t="s">
        <v>2192</v>
      </c>
      <c r="B466" s="32" t="s">
        <v>863</v>
      </c>
      <c r="C466" s="73">
        <v>7700</v>
      </c>
      <c r="F466">
        <v>207</v>
      </c>
    </row>
    <row r="467" spans="1:6">
      <c r="A467" s="2" t="s">
        <v>2193</v>
      </c>
      <c r="B467" s="2" t="s">
        <v>863</v>
      </c>
      <c r="C467" s="72">
        <v>10400</v>
      </c>
      <c r="F467">
        <v>209</v>
      </c>
    </row>
    <row r="468" spans="1:6">
      <c r="A468" s="32" t="s">
        <v>2194</v>
      </c>
      <c r="B468" s="32" t="s">
        <v>863</v>
      </c>
      <c r="C468" s="73">
        <v>421300</v>
      </c>
      <c r="F468">
        <v>209</v>
      </c>
    </row>
    <row r="469" spans="1:6">
      <c r="A469" s="2" t="s">
        <v>2195</v>
      </c>
      <c r="B469" s="2" t="s">
        <v>863</v>
      </c>
      <c r="C469" s="72">
        <v>7400</v>
      </c>
      <c r="F469">
        <v>207</v>
      </c>
    </row>
    <row r="470" spans="1:6">
      <c r="A470" s="32" t="s">
        <v>2196</v>
      </c>
      <c r="B470" s="32" t="s">
        <v>863</v>
      </c>
      <c r="C470" s="73">
        <v>31300</v>
      </c>
      <c r="F470">
        <v>205</v>
      </c>
    </row>
    <row r="471" spans="1:6">
      <c r="A471" s="2" t="s">
        <v>2197</v>
      </c>
      <c r="B471" s="2" t="s">
        <v>863</v>
      </c>
      <c r="C471" s="72">
        <v>5200</v>
      </c>
      <c r="F471">
        <v>203</v>
      </c>
    </row>
    <row r="472" spans="1:6">
      <c r="A472" s="32" t="s">
        <v>2198</v>
      </c>
      <c r="B472" s="32" t="s">
        <v>2200</v>
      </c>
      <c r="C472" s="73">
        <v>2500.02</v>
      </c>
      <c r="F472">
        <v>203</v>
      </c>
    </row>
    <row r="473" spans="1:6">
      <c r="A473" s="2" t="s">
        <v>2199</v>
      </c>
      <c r="B473" s="2" t="s">
        <v>2200</v>
      </c>
      <c r="C473" s="72">
        <v>2500.02</v>
      </c>
      <c r="F473">
        <v>210</v>
      </c>
    </row>
    <row r="474" spans="1:6">
      <c r="A474" s="32" t="s">
        <v>2201</v>
      </c>
      <c r="B474" s="32" t="s">
        <v>1816</v>
      </c>
      <c r="C474" s="73">
        <v>7879.68</v>
      </c>
      <c r="F474" t="s">
        <v>1164</v>
      </c>
    </row>
    <row r="475" spans="1:6">
      <c r="A475" s="2" t="s">
        <v>2202</v>
      </c>
      <c r="B475" s="2" t="s">
        <v>857</v>
      </c>
      <c r="C475" s="72">
        <v>1453600.34</v>
      </c>
      <c r="F475">
        <v>209</v>
      </c>
    </row>
    <row r="476" spans="1:6">
      <c r="A476" s="32" t="s">
        <v>2203</v>
      </c>
      <c r="B476" s="32" t="s">
        <v>1715</v>
      </c>
      <c r="C476" s="73">
        <v>57</v>
      </c>
      <c r="F476" t="s">
        <v>1164</v>
      </c>
    </row>
    <row r="477" spans="1:6">
      <c r="A477" s="2" t="s">
        <v>2204</v>
      </c>
      <c r="B477" s="2" t="s">
        <v>1715</v>
      </c>
      <c r="C477" s="72">
        <v>57</v>
      </c>
      <c r="F477" t="s">
        <v>1164</v>
      </c>
    </row>
    <row r="478" spans="1:6">
      <c r="A478" s="32" t="s">
        <v>2205</v>
      </c>
      <c r="B478" s="32" t="s">
        <v>1863</v>
      </c>
      <c r="C478" s="73">
        <v>28500</v>
      </c>
      <c r="F478">
        <v>202</v>
      </c>
    </row>
    <row r="479" spans="1:6">
      <c r="A479" t="s">
        <v>2206</v>
      </c>
      <c r="C479" t="e">
        <f>VLOOKUP(Inv_Master[[#This Row],[التوجية المحاسبي]],'COA_Mtble'!C:D,2,0)</f>
        <v>#N/A</v>
      </c>
      <c r="F479">
        <v>203</v>
      </c>
    </row>
    <row r="480" spans="1:6">
      <c r="A480" t="s">
        <v>2207</v>
      </c>
      <c r="C480" t="e">
        <f>VLOOKUP(Inv_Master[[#This Row],[التوجية المحاسبي]],'COA_Mtble'!C:D,2,0)</f>
        <v>#N/A</v>
      </c>
      <c r="F480" t="s">
        <v>1164</v>
      </c>
    </row>
    <row r="481" spans="1:6">
      <c r="A481" t="s">
        <v>2208</v>
      </c>
      <c r="C481" t="e">
        <f>VLOOKUP(Inv_Master[[#This Row],[التوجية المحاسبي]],'COA_Mtble'!C:D,2,0)</f>
        <v>#N/A</v>
      </c>
      <c r="F481" t="s">
        <v>1164</v>
      </c>
    </row>
    <row r="482" spans="1:6">
      <c r="A482" t="s">
        <v>2210</v>
      </c>
      <c r="C482" t="e">
        <f>VLOOKUP(Inv_Master[[#This Row],[التوجية المحاسبي]],'COA_Mtble'!C:D,2,0)</f>
        <v>#N/A</v>
      </c>
      <c r="D482" t="s">
        <v>2209</v>
      </c>
      <c r="F482">
        <v>204</v>
      </c>
    </row>
    <row r="483" spans="1:6">
      <c r="A483" t="s">
        <v>2212</v>
      </c>
      <c r="C483" t="e">
        <f>VLOOKUP(Inv_Master[[#This Row],[التوجية المحاسبي]],'COA_Mtble'!C:D,2,0)</f>
        <v>#N/A</v>
      </c>
      <c r="D483" t="s">
        <v>2211</v>
      </c>
      <c r="F483">
        <v>203</v>
      </c>
    </row>
    <row r="484" spans="1:6">
      <c r="A484" t="s">
        <v>2214</v>
      </c>
      <c r="C484" t="e">
        <f>VLOOKUP(Inv_Master[[#This Row],[التوجية المحاسبي]],'COA_Mtble'!C:D,2,0)</f>
        <v>#N/A</v>
      </c>
      <c r="D484" t="s">
        <v>2213</v>
      </c>
      <c r="F484">
        <v>202</v>
      </c>
    </row>
    <row r="485" spans="1:6">
      <c r="A485" t="s">
        <v>2216</v>
      </c>
      <c r="C485" t="e">
        <f>VLOOKUP(Inv_Master[[#This Row],[التوجية المحاسبي]],'COA_Mtble'!C:D,2,0)</f>
        <v>#N/A</v>
      </c>
      <c r="D485" t="s">
        <v>2215</v>
      </c>
      <c r="F485">
        <v>218</v>
      </c>
    </row>
    <row r="486" spans="1:6">
      <c r="A486" t="s">
        <v>2218</v>
      </c>
      <c r="C486" t="e">
        <f>VLOOKUP(Inv_Master[[#This Row],[التوجية المحاسبي]],'COA_Mtble'!C:D,2,0)</f>
        <v>#N/A</v>
      </c>
      <c r="D486" t="s">
        <v>2217</v>
      </c>
      <c r="F486">
        <v>211</v>
      </c>
    </row>
    <row r="487" spans="1:6">
      <c r="A487" t="s">
        <v>2221</v>
      </c>
      <c r="C487" t="e">
        <f>VLOOKUP(Inv_Master[[#This Row],[التوجية المحاسبي]],'COA_Mtble'!C:D,2,0)</f>
        <v>#N/A</v>
      </c>
      <c r="F487">
        <v>205</v>
      </c>
    </row>
    <row r="488" spans="1:6">
      <c r="A488" t="s">
        <v>2222</v>
      </c>
      <c r="C488" t="e">
        <f>VLOOKUP(Inv_Master[[#This Row],[التوجية المحاسبي]],'COA_Mtble'!C:D,2,0)</f>
        <v>#N/A</v>
      </c>
      <c r="F488">
        <v>205</v>
      </c>
    </row>
    <row r="489" spans="1:6">
      <c r="A489" t="s">
        <v>2223</v>
      </c>
      <c r="C489" t="e">
        <f>VLOOKUP(Inv_Master[[#This Row],[التوجية المحاسبي]],'COA_Mtble'!C:D,2,0)</f>
        <v>#N/A</v>
      </c>
      <c r="F489">
        <v>205</v>
      </c>
    </row>
    <row r="490" spans="1:6">
      <c r="A490" t="s">
        <v>2224</v>
      </c>
      <c r="C490" t="e">
        <f>VLOOKUP(Inv_Master[[#This Row],[التوجية المحاسبي]],'COA_Mtble'!C:D,2,0)</f>
        <v>#N/A</v>
      </c>
      <c r="F490">
        <v>205</v>
      </c>
    </row>
    <row r="491" spans="1:6">
      <c r="A491" s="30" t="s">
        <v>2258</v>
      </c>
      <c r="C491" t="e">
        <f>VLOOKUP(Inv_Master[[#This Row],[التوجية المحاسبي]],'COA_Mtble'!C:D,2,0)</f>
        <v>#N/A</v>
      </c>
      <c r="F491" t="s">
        <v>1164</v>
      </c>
    </row>
    <row r="492" spans="1:6">
      <c r="A492" s="30" t="s">
        <v>2259</v>
      </c>
      <c r="C492" t="e">
        <f>VLOOKUP(Inv_Master[[#This Row],[التوجية المحاسبي]],'COA_Mtble'!C:D,2,0)</f>
        <v>#N/A</v>
      </c>
      <c r="F492">
        <v>220</v>
      </c>
    </row>
    <row r="493" spans="1:6">
      <c r="A493" s="30" t="s">
        <v>2260</v>
      </c>
      <c r="C493" t="e">
        <f>VLOOKUP(Inv_Master[[#This Row],[التوجية المحاسبي]],'COA_Mtble'!C:D,2,0)</f>
        <v>#N/A</v>
      </c>
      <c r="F493">
        <v>222</v>
      </c>
    </row>
    <row r="494" spans="1:6">
      <c r="A494" s="30" t="s">
        <v>2261</v>
      </c>
      <c r="C494" t="e">
        <f>VLOOKUP(Inv_Master[[#This Row],[التوجية المحاسبي]],'COA_Mtble'!C:D,2,0)</f>
        <v>#N/A</v>
      </c>
      <c r="F494">
        <v>222</v>
      </c>
    </row>
    <row r="495" spans="1:6">
      <c r="A495" s="30" t="s">
        <v>2262</v>
      </c>
      <c r="C495" t="e">
        <f>VLOOKUP(Inv_Master[[#This Row],[التوجية المحاسبي]],'COA_Mtble'!C:D,2,0)</f>
        <v>#N/A</v>
      </c>
      <c r="F495">
        <v>211</v>
      </c>
    </row>
    <row r="496" spans="1:6">
      <c r="A496" s="30" t="s">
        <v>2263</v>
      </c>
      <c r="C496" t="e">
        <f>VLOOKUP(Inv_Master[[#This Row],[التوجية المحاسبي]],'COA_Mtble'!C:D,2,0)</f>
        <v>#N/A</v>
      </c>
      <c r="F496">
        <v>211</v>
      </c>
    </row>
    <row r="497" spans="1:6">
      <c r="A497" t="s">
        <v>2264</v>
      </c>
      <c r="C497" t="e">
        <f>VLOOKUP(Inv_Master[[#This Row],[التوجية المحاسبي]],'COA_Mtble'!C:D,2,0)</f>
        <v>#N/A</v>
      </c>
      <c r="F497">
        <v>211</v>
      </c>
    </row>
    <row r="498" spans="1:6">
      <c r="A498" t="s">
        <v>2265</v>
      </c>
      <c r="C498" t="e">
        <f>VLOOKUP(Inv_Master[[#This Row],[التوجية المحاسبي]],'COA_Mtble'!C:D,2,0)</f>
        <v>#N/A</v>
      </c>
      <c r="F498">
        <v>211</v>
      </c>
    </row>
    <row r="499" spans="1:6">
      <c r="A499" t="s">
        <v>2266</v>
      </c>
      <c r="C499" t="e">
        <f>VLOOKUP(Inv_Master[[#This Row],[التوجية المحاسبي]],'COA_Mtble'!C:D,2,0)</f>
        <v>#N/A</v>
      </c>
      <c r="F499">
        <v>211</v>
      </c>
    </row>
    <row r="500" spans="1:6">
      <c r="A500" t="s">
        <v>2267</v>
      </c>
      <c r="C500" t="e">
        <f>VLOOKUP(Inv_Master[[#This Row],[التوجية المحاسبي]],'COA_Mtble'!C:D,2,0)</f>
        <v>#N/A</v>
      </c>
      <c r="F500">
        <v>211</v>
      </c>
    </row>
    <row r="501" spans="1:6">
      <c r="A501" t="s">
        <v>2268</v>
      </c>
      <c r="C501" t="e">
        <f>VLOOKUP(Inv_Master[[#This Row],[التوجية المحاسبي]],'COA_Mtble'!C:D,2,0)</f>
        <v>#N/A</v>
      </c>
      <c r="F501">
        <v>220</v>
      </c>
    </row>
    <row r="502" spans="1:6">
      <c r="A502" t="s">
        <v>2269</v>
      </c>
      <c r="C502" t="e">
        <f>VLOOKUP(Inv_Master[[#This Row],[التوجية المحاسبي]],'COA_Mtble'!C:D,2,0)</f>
        <v>#N/A</v>
      </c>
      <c r="F502">
        <v>220</v>
      </c>
    </row>
    <row r="503" spans="1:6">
      <c r="A503" t="s">
        <v>2270</v>
      </c>
      <c r="C503" t="e">
        <f>VLOOKUP(Inv_Master[[#This Row],[التوجية المحاسبي]],'COA_Mtble'!C:D,2,0)</f>
        <v>#N/A</v>
      </c>
      <c r="F503">
        <v>219</v>
      </c>
    </row>
    <row r="504" spans="1:6">
      <c r="A504" t="s">
        <v>2271</v>
      </c>
      <c r="C504" t="e">
        <f>VLOOKUP(Inv_Master[[#This Row],[التوجية المحاسبي]],'COA_Mtble'!C:D,2,0)</f>
        <v>#N/A</v>
      </c>
      <c r="F504">
        <v>211</v>
      </c>
    </row>
    <row r="505" spans="1:6">
      <c r="A505" t="s">
        <v>2272</v>
      </c>
      <c r="C505" t="e">
        <f>VLOOKUP(Inv_Master[[#This Row],[التوجية المحاسبي]],'COA_Mtble'!C:D,2,0)</f>
        <v>#N/A</v>
      </c>
      <c r="F505" t="s">
        <v>1164</v>
      </c>
    </row>
    <row r="506" spans="1:6">
      <c r="A506" t="s">
        <v>2273</v>
      </c>
      <c r="C506" t="e">
        <f>VLOOKUP(Inv_Master[[#This Row],[التوجية المحاسبي]],'COA_Mtble'!C:D,2,0)</f>
        <v>#N/A</v>
      </c>
      <c r="F506">
        <v>222</v>
      </c>
    </row>
    <row r="507" spans="1:6">
      <c r="A507" t="s">
        <v>2274</v>
      </c>
      <c r="C507" t="e">
        <f>VLOOKUP(Inv_Master[[#This Row],[التوجية المحاسبي]],'COA_Mtble'!C:D,2,0)</f>
        <v>#N/A</v>
      </c>
      <c r="F507">
        <v>211</v>
      </c>
    </row>
    <row r="508" spans="1:6">
      <c r="A508" t="s">
        <v>2275</v>
      </c>
      <c r="C508" t="e">
        <f>VLOOKUP(Inv_Master[[#This Row],[التوجية المحاسبي]],'COA_Mtble'!C:D,2,0)</f>
        <v>#N/A</v>
      </c>
      <c r="F508">
        <v>220</v>
      </c>
    </row>
    <row r="509" spans="1:6">
      <c r="A509" t="s">
        <v>2276</v>
      </c>
      <c r="C509" t="e">
        <f>VLOOKUP(Inv_Master[[#This Row],[التوجية المحاسبي]],'COA_Mtble'!C:D,2,0)</f>
        <v>#N/A</v>
      </c>
      <c r="F509">
        <v>203</v>
      </c>
    </row>
    <row r="510" spans="1:6">
      <c r="A510" t="s">
        <v>2278</v>
      </c>
      <c r="B510" t="s">
        <v>2277</v>
      </c>
      <c r="E510" s="19">
        <v>131100</v>
      </c>
      <c r="F510">
        <v>210</v>
      </c>
    </row>
    <row r="511" spans="1:6">
      <c r="A511" t="s">
        <v>2280</v>
      </c>
      <c r="B511" t="s">
        <v>2279</v>
      </c>
      <c r="E511" s="19">
        <v>11400</v>
      </c>
      <c r="F511">
        <v>204</v>
      </c>
    </row>
    <row r="512" spans="1:6">
      <c r="A512" t="s">
        <v>2282</v>
      </c>
      <c r="C512" t="e">
        <f>VLOOKUP(Inv_Master[[#This Row],[التوجية المحاسبي]],'COA_Mtble'!C:D,2,0)</f>
        <v>#N/A</v>
      </c>
      <c r="E512" t="s">
        <v>2281</v>
      </c>
      <c r="F512">
        <v>220</v>
      </c>
    </row>
    <row r="513" spans="1:6">
      <c r="A513" t="s">
        <v>2284</v>
      </c>
      <c r="C513" t="e">
        <f>VLOOKUP(Inv_Master[[#This Row],[التوجية المحاسبي]],'COA_Mtble'!C:D,2,0)</f>
        <v>#N/A</v>
      </c>
      <c r="E513" t="s">
        <v>2283</v>
      </c>
      <c r="F513">
        <v>219</v>
      </c>
    </row>
    <row r="514" spans="1:6">
      <c r="A514" t="s">
        <v>2286</v>
      </c>
      <c r="C514" t="e">
        <f>VLOOKUP(Inv_Master[[#This Row],[التوجية المحاسبي]],'COA_Mtble'!C:D,2,0)</f>
        <v>#N/A</v>
      </c>
      <c r="E514" t="s">
        <v>2285</v>
      </c>
      <c r="F514">
        <v>218</v>
      </c>
    </row>
    <row r="515" spans="1:6">
      <c r="A515" t="s">
        <v>2288</v>
      </c>
      <c r="C515" t="e">
        <f>VLOOKUP(Inv_Master[[#This Row],[التوجية المحاسبي]],'COA_Mtble'!C:D,2,0)</f>
        <v>#N/A</v>
      </c>
      <c r="E515" t="s">
        <v>2287</v>
      </c>
      <c r="F515">
        <v>219</v>
      </c>
    </row>
    <row r="516" spans="1:6">
      <c r="A516" s="30" t="s">
        <v>2289</v>
      </c>
      <c r="C516" t="e">
        <f>VLOOKUP(Inv_Master[[#This Row],[التوجية المحاسبي]],'COA_Mtble'!C:D,2,0)</f>
        <v>#N/A</v>
      </c>
      <c r="F516">
        <v>211</v>
      </c>
    </row>
    <row r="517" spans="1:6">
      <c r="A517" t="s">
        <v>2290</v>
      </c>
      <c r="C517" t="e">
        <f>VLOOKUP(Inv_Master[[#This Row],[التوجية المحاسبي]],'COA_Mtble'!C:D,2,0)</f>
        <v>#N/A</v>
      </c>
      <c r="E517" t="s">
        <v>2291</v>
      </c>
      <c r="F517">
        <v>211</v>
      </c>
    </row>
    <row r="518" spans="1:6">
      <c r="A518" t="s">
        <v>2292</v>
      </c>
      <c r="C518" s="82" t="e">
        <f>VLOOKUP(Inv_Master[[#This Row],[التوجية المحاسبي]],'COA_Mtble'!C:D,2,0)</f>
        <v>#N/A</v>
      </c>
      <c r="D518" s="82"/>
      <c r="E518" t="s">
        <v>2293</v>
      </c>
      <c r="F518" t="s">
        <v>2293</v>
      </c>
    </row>
    <row r="519" spans="1:6">
      <c r="A519" t="s">
        <v>2294</v>
      </c>
      <c r="C519" s="82" t="e">
        <f>VLOOKUP(Inv_Master[[#This Row],[التوجية المحاسبي]],'COA_Mtble'!C:D,2,0)</f>
        <v>#N/A</v>
      </c>
      <c r="D519" s="82"/>
      <c r="F519">
        <v>211</v>
      </c>
    </row>
    <row r="520" spans="1:6">
      <c r="A520" t="s">
        <v>2295</v>
      </c>
      <c r="C520" s="82" t="e">
        <f>VLOOKUP(Inv_Master[[#This Row],[التوجية المحاسبي]],'COA_Mtble'!C:D,2,0)</f>
        <v>#N/A</v>
      </c>
      <c r="D520" s="82"/>
      <c r="F520">
        <v>209</v>
      </c>
    </row>
    <row r="521" spans="1:6">
      <c r="A521" t="s">
        <v>2296</v>
      </c>
      <c r="C521" s="82" t="e">
        <f>VLOOKUP(Inv_Master[[#This Row],[التوجية المحاسبي]],'COA_Mtble'!C:D,2,0)</f>
        <v>#N/A</v>
      </c>
      <c r="D521" s="82"/>
      <c r="F521">
        <v>216</v>
      </c>
    </row>
    <row r="522" spans="1:6">
      <c r="A522" t="s">
        <v>2297</v>
      </c>
      <c r="C522" s="82" t="e">
        <f>VLOOKUP(Inv_Master[[#This Row],[التوجية المحاسبي]],'COA_Mtble'!C:D,2,0)</f>
        <v>#N/A</v>
      </c>
      <c r="D522" s="82"/>
      <c r="F522">
        <v>211</v>
      </c>
    </row>
    <row r="523" spans="1:6">
      <c r="A523" t="s">
        <v>2298</v>
      </c>
      <c r="C523" s="82" t="e">
        <f>VLOOKUP(Inv_Master[[#This Row],[التوجية المحاسبي]],'COA_Mtble'!C:D,2,0)</f>
        <v>#N/A</v>
      </c>
      <c r="D523" s="82"/>
      <c r="F523">
        <v>211</v>
      </c>
    </row>
    <row r="524" spans="1:6">
      <c r="A524" t="s">
        <v>2299</v>
      </c>
      <c r="C524" s="82" t="e">
        <f>VLOOKUP(Inv_Master[[#This Row],[التوجية المحاسبي]],'COA_Mtble'!C:D,2,0)</f>
        <v>#N/A</v>
      </c>
      <c r="D524" s="82"/>
      <c r="F524">
        <v>211</v>
      </c>
    </row>
    <row r="525" spans="1:6">
      <c r="A525" t="s">
        <v>2300</v>
      </c>
      <c r="C525" s="82" t="e">
        <f>VLOOKUP(Inv_Master[[#This Row],[التوجية المحاسبي]],'COA_Mtble'!C:D,2,0)</f>
        <v>#N/A</v>
      </c>
      <c r="D525" s="82"/>
      <c r="F525">
        <v>211</v>
      </c>
    </row>
    <row r="526" spans="1:6">
      <c r="A526" t="s">
        <v>2301</v>
      </c>
      <c r="C526" s="82" t="e">
        <f>VLOOKUP(Inv_Master[[#This Row],[التوجية المحاسبي]],'COA_Mtble'!C:D,2,0)</f>
        <v>#N/A</v>
      </c>
      <c r="D526" s="82"/>
      <c r="F526">
        <v>222</v>
      </c>
    </row>
    <row r="527" spans="1:6">
      <c r="C527" s="82" t="e">
        <f>VLOOKUP(Inv_Master[[#This Row],[التوجية المحاسبي]],'COA_Mtble'!C:D,2,0)</f>
        <v>#N/A</v>
      </c>
      <c r="D527" s="82"/>
    </row>
  </sheetData>
  <dataConsolidate/>
  <conditionalFormatting sqref="A2:A350">
    <cfRule type="duplicateValues" dxfId="21" priority="24"/>
    <cfRule type="duplicateValues" dxfId="20" priority="25"/>
  </conditionalFormatting>
  <hyperlinks>
    <hyperlink ref="D46" r:id="rId1" xr:uid="{50703863-8042-4EF1-8944-216A7E0335CF}"/>
    <hyperlink ref="E46" r:id="rId2" xr:uid="{CEF3985D-8775-4073-ACB9-CFB747B13BCC}"/>
    <hyperlink ref="D249" r:id="rId3" xr:uid="{13B5F230-C75A-46A4-8A38-3F0EAF822277}"/>
    <hyperlink ref="E249" r:id="rId4" xr:uid="{08DA28BC-D161-4FD2-A545-1F6754C20CE6}"/>
    <hyperlink ref="D75" r:id="rId5" xr:uid="{DCD1857E-D0EE-4750-8C46-2EA4410F3A20}"/>
    <hyperlink ref="E75" r:id="rId6" xr:uid="{780B2944-DA41-495C-80DE-C68247E850B6}"/>
    <hyperlink ref="D55" r:id="rId7" xr:uid="{DB8C84FC-67ED-4BC4-8737-FB883AD4B0A1}"/>
    <hyperlink ref="D189" r:id="rId8" xr:uid="{8A71B673-3802-4553-A8EA-27BBFC5EF492}"/>
    <hyperlink ref="E55" r:id="rId9" xr:uid="{F0E3B993-1C07-4255-A435-249774780DC0}"/>
    <hyperlink ref="E189" r:id="rId10" xr:uid="{5E0AB7DD-5BED-4873-8B58-A64C601ECE01}"/>
    <hyperlink ref="D142" r:id="rId11" xr:uid="{388D20A6-6BEB-48AB-B4F4-6F85725A8371}"/>
    <hyperlink ref="D284" r:id="rId12" xr:uid="{E88094A9-93C4-49E7-B9AA-51DFD50099C9}"/>
    <hyperlink ref="E258:E259" r:id="rId13" display="يونيو@2025" xr:uid="{760A18B8-23D9-47BD-92E3-7851736C5AEA}"/>
    <hyperlink ref="D91" r:id="rId14" xr:uid="{A6A5DDFA-8807-4208-8AAD-CAC82B053236}"/>
    <hyperlink ref="E91" r:id="rId15" xr:uid="{CEC0ADF0-AE69-4838-8693-F66CCCF7FA8D}"/>
    <hyperlink ref="D255" r:id="rId16" xr:uid="{6947A582-08F8-45B1-8950-19AFBC39E1D5}"/>
    <hyperlink ref="E255" r:id="rId17" xr:uid="{07323988-02AF-48A8-8369-1484ED9F9A0A}"/>
    <hyperlink ref="D285" r:id="rId18" xr:uid="{560E17D2-6CBB-4F98-9108-AAEE168A31BE}"/>
    <hyperlink ref="D294" r:id="rId19" xr:uid="{837C77E9-3703-4F24-9E8C-074D2772F9A9}"/>
    <hyperlink ref="D156" r:id="rId20" xr:uid="{D56EB7BC-FF31-490E-8B84-A6C28CB6995E}"/>
    <hyperlink ref="E285" r:id="rId21" xr:uid="{C09CDE03-EA7C-4908-8637-318E4190F5AA}"/>
    <hyperlink ref="E294" r:id="rId22" xr:uid="{F0D48E00-B64B-4189-9815-713D09F6E1BE}"/>
    <hyperlink ref="E156" r:id="rId23" xr:uid="{7B2B7027-28B6-4232-9D73-B2506B326CE0}"/>
    <hyperlink ref="D106" r:id="rId24" xr:uid="{F44E7537-F57A-4FC2-A077-4D07744EFD13}"/>
    <hyperlink ref="E106" r:id="rId25" xr:uid="{40DFEE8E-018C-4869-BAA3-B8B836589039}"/>
    <hyperlink ref="D13" r:id="rId26" xr:uid="{7F2E537B-5A23-42D8-A283-47B35E2F1EDD}"/>
    <hyperlink ref="E13" r:id="rId27" xr:uid="{8253493D-CD39-4F86-BDC0-7825FC1F4E59}"/>
    <hyperlink ref="D124" r:id="rId28" xr:uid="{68074BAE-8B51-4B92-90E2-65337D9FFE7F}"/>
    <hyperlink ref="D237" r:id="rId29" xr:uid="{6B721C88-79A5-42EB-B2CE-5B88FAD0190F}"/>
    <hyperlink ref="E124" r:id="rId30" xr:uid="{29F2B88B-1503-46E1-8215-EBB19B1007A2}"/>
    <hyperlink ref="E237" r:id="rId31" xr:uid="{0795CD88-B9B2-4E57-BB5E-BB241B0999B1}"/>
    <hyperlink ref="D236" r:id="rId32" xr:uid="{59B9C780-20E4-4281-83E0-109C988BEF4E}"/>
    <hyperlink ref="E236" r:id="rId33" xr:uid="{5B48A4E5-12F3-4B23-BC16-4710F52E6158}"/>
    <hyperlink ref="D27" r:id="rId34" xr:uid="{D5758B95-8BB8-41CB-ABC3-51FB236BC7CF}"/>
    <hyperlink ref="E27" r:id="rId35" xr:uid="{EB2706B4-AF02-4116-8621-7546E042FDF2}"/>
    <hyperlink ref="D66" r:id="rId36" xr:uid="{5E472669-BF6D-4A3C-A09E-C74B1BD700FE}"/>
    <hyperlink ref="E66" r:id="rId37" xr:uid="{9C889FA9-D513-4565-81B8-083A956CDEF3}"/>
    <hyperlink ref="D136" r:id="rId38" xr:uid="{884356A1-073A-4196-85C6-C2EBB8D25DD0}"/>
    <hyperlink ref="E136" r:id="rId39" xr:uid="{C3EAAD3B-8746-487E-BF2C-1F2EC291FEEF}"/>
    <hyperlink ref="D244" r:id="rId40" xr:uid="{02006CF8-1D02-468C-AAE2-AE1C059B4231}"/>
    <hyperlink ref="E244" r:id="rId41" xr:uid="{DD89DB74-2743-4B00-8EDF-BFC0F7394A7D}"/>
    <hyperlink ref="D187" r:id="rId42" xr:uid="{DDE78E76-ECCF-4C7B-8A80-45E630A0B706}"/>
    <hyperlink ref="E187" r:id="rId43" xr:uid="{F31078CF-A99B-4316-9AB8-C733EA4D6920}"/>
  </hyperlinks>
  <pageMargins left="0.7" right="0.7" top="0.75" bottom="0.75" header="0.3" footer="0.3"/>
  <tableParts count="1">
    <tablePart r:id="rId44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BF1099D-2CEC-4DF2-AB7D-38970FC32195}">
          <x14:formula1>
            <xm:f>'COA_Mtble'!$C$2:$C$45</xm:f>
          </x14:formula1>
          <xm:sqref>B2:B6 B273 B221 B237 B241:B243 B159:B160 B153:B155 B91 B89 B10:B12 B8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1B80-4BE6-4F06-B89D-B125B9C15D7D}">
  <sheetPr>
    <tabColor rgb="FF960000"/>
  </sheetPr>
  <dimension ref="A1:F176"/>
  <sheetViews>
    <sheetView workbookViewId="0">
      <selection activeCell="C2" sqref="C2"/>
    </sheetView>
  </sheetViews>
  <sheetFormatPr defaultRowHeight="15"/>
  <cols>
    <col min="1" max="1" width="15" bestFit="1" customWidth="1"/>
    <col min="2" max="2" width="51.42578125" bestFit="1" customWidth="1"/>
    <col min="3" max="3" width="51.42578125" customWidth="1"/>
    <col min="4" max="4" width="108" bestFit="1" customWidth="1"/>
    <col min="5" max="5" width="10.28515625" bestFit="1" customWidth="1"/>
    <col min="6" max="6" width="9.28515625" bestFit="1" customWidth="1"/>
  </cols>
  <sheetData>
    <row r="1" spans="1:6" ht="30">
      <c r="A1" s="8" t="s">
        <v>684</v>
      </c>
      <c r="B1" s="8" t="s">
        <v>1131</v>
      </c>
      <c r="C1" t="s">
        <v>1157</v>
      </c>
      <c r="D1" s="8" t="s">
        <v>198</v>
      </c>
      <c r="E1" s="8" t="s">
        <v>1132</v>
      </c>
      <c r="F1" s="9" t="s">
        <v>1133</v>
      </c>
    </row>
    <row r="2" spans="1:6">
      <c r="A2" t="s">
        <v>679</v>
      </c>
      <c r="B2" t="s">
        <v>865</v>
      </c>
      <c r="C2" t="s">
        <v>864</v>
      </c>
      <c r="D2" t="s">
        <v>347</v>
      </c>
      <c r="E2">
        <v>1</v>
      </c>
      <c r="F2">
        <v>1</v>
      </c>
    </row>
    <row r="3" spans="1:6">
      <c r="A3" t="s">
        <v>1153</v>
      </c>
      <c r="B3" t="s">
        <v>836</v>
      </c>
      <c r="C3" t="s">
        <v>835</v>
      </c>
      <c r="D3" t="s">
        <v>320</v>
      </c>
      <c r="E3">
        <v>1</v>
      </c>
      <c r="F3">
        <v>1</v>
      </c>
    </row>
    <row r="4" spans="1:6">
      <c r="A4" t="s">
        <v>1153</v>
      </c>
      <c r="B4" t="s">
        <v>836</v>
      </c>
      <c r="C4" t="s">
        <v>835</v>
      </c>
      <c r="D4" t="s">
        <v>324</v>
      </c>
    </row>
    <row r="5" spans="1:6">
      <c r="A5" t="s">
        <v>1138</v>
      </c>
      <c r="B5" t="s">
        <v>811</v>
      </c>
      <c r="C5" t="s">
        <v>807</v>
      </c>
      <c r="D5" t="s">
        <v>249</v>
      </c>
      <c r="E5">
        <v>1</v>
      </c>
      <c r="F5">
        <v>1</v>
      </c>
    </row>
    <row r="6" spans="1:6">
      <c r="A6" t="s">
        <v>1138</v>
      </c>
      <c r="B6" t="s">
        <v>811</v>
      </c>
      <c r="C6" t="s">
        <v>807</v>
      </c>
      <c r="D6" t="s">
        <v>250</v>
      </c>
      <c r="E6">
        <v>1</v>
      </c>
      <c r="F6">
        <v>1</v>
      </c>
    </row>
    <row r="7" spans="1:6">
      <c r="A7" t="s">
        <v>1138</v>
      </c>
      <c r="B7" t="s">
        <v>811</v>
      </c>
      <c r="C7" t="s">
        <v>807</v>
      </c>
      <c r="D7" t="s">
        <v>251</v>
      </c>
      <c r="E7">
        <v>1</v>
      </c>
      <c r="F7">
        <v>1</v>
      </c>
    </row>
    <row r="8" spans="1:6">
      <c r="A8" t="s">
        <v>1138</v>
      </c>
      <c r="B8" t="s">
        <v>811</v>
      </c>
      <c r="C8" t="s">
        <v>807</v>
      </c>
      <c r="D8" t="s">
        <v>252</v>
      </c>
      <c r="E8">
        <v>1</v>
      </c>
      <c r="F8">
        <v>1</v>
      </c>
    </row>
    <row r="9" spans="1:6">
      <c r="A9" t="s">
        <v>1147</v>
      </c>
      <c r="B9" t="s">
        <v>811</v>
      </c>
      <c r="C9" t="s">
        <v>807</v>
      </c>
      <c r="D9" t="s">
        <v>250</v>
      </c>
      <c r="E9">
        <v>1</v>
      </c>
      <c r="F9">
        <v>1</v>
      </c>
    </row>
    <row r="10" spans="1:6">
      <c r="A10" t="s">
        <v>1147</v>
      </c>
      <c r="B10" t="s">
        <v>811</v>
      </c>
      <c r="C10" t="s">
        <v>807</v>
      </c>
      <c r="D10" t="s">
        <v>251</v>
      </c>
      <c r="E10">
        <v>1</v>
      </c>
      <c r="F10">
        <v>1</v>
      </c>
    </row>
    <row r="11" spans="1:6">
      <c r="A11" t="s">
        <v>1147</v>
      </c>
      <c r="B11" t="s">
        <v>811</v>
      </c>
      <c r="C11" t="s">
        <v>807</v>
      </c>
      <c r="D11" t="s">
        <v>249</v>
      </c>
      <c r="E11">
        <v>1</v>
      </c>
      <c r="F11">
        <v>1</v>
      </c>
    </row>
    <row r="12" spans="1:6">
      <c r="A12" t="s">
        <v>1153</v>
      </c>
      <c r="B12" t="s">
        <v>811</v>
      </c>
      <c r="C12" t="s">
        <v>807</v>
      </c>
      <c r="D12" t="s">
        <v>315</v>
      </c>
      <c r="E12">
        <v>1</v>
      </c>
      <c r="F12">
        <v>3</v>
      </c>
    </row>
    <row r="13" spans="1:6">
      <c r="A13" t="s">
        <v>1153</v>
      </c>
      <c r="B13" t="s">
        <v>811</v>
      </c>
      <c r="C13" t="s">
        <v>807</v>
      </c>
      <c r="D13" t="s">
        <v>321</v>
      </c>
      <c r="E13">
        <v>1</v>
      </c>
      <c r="F13">
        <v>1</v>
      </c>
    </row>
    <row r="14" spans="1:6">
      <c r="A14" t="s">
        <v>1155</v>
      </c>
      <c r="B14" t="s">
        <v>811</v>
      </c>
      <c r="C14" t="s">
        <v>807</v>
      </c>
      <c r="D14" t="s">
        <v>249</v>
      </c>
      <c r="E14">
        <v>1</v>
      </c>
      <c r="F14">
        <v>1</v>
      </c>
    </row>
    <row r="15" spans="1:6">
      <c r="A15" t="s">
        <v>1155</v>
      </c>
      <c r="B15" t="s">
        <v>811</v>
      </c>
      <c r="C15" t="s">
        <v>807</v>
      </c>
      <c r="D15" t="s">
        <v>250</v>
      </c>
      <c r="E15">
        <v>1</v>
      </c>
      <c r="F15">
        <v>0</v>
      </c>
    </row>
    <row r="16" spans="1:6">
      <c r="A16" t="s">
        <v>1155</v>
      </c>
      <c r="B16" t="s">
        <v>811</v>
      </c>
      <c r="C16" t="s">
        <v>807</v>
      </c>
      <c r="D16" t="s">
        <v>251</v>
      </c>
      <c r="E16">
        <v>1</v>
      </c>
      <c r="F16">
        <v>0</v>
      </c>
    </row>
    <row r="17" spans="1:6">
      <c r="A17" t="s">
        <v>1155</v>
      </c>
      <c r="B17" t="s">
        <v>906</v>
      </c>
      <c r="C17" t="s">
        <v>905</v>
      </c>
      <c r="D17" t="s">
        <v>329</v>
      </c>
      <c r="E17">
        <v>1</v>
      </c>
      <c r="F17">
        <v>1</v>
      </c>
    </row>
    <row r="18" spans="1:6">
      <c r="A18" t="s">
        <v>1155</v>
      </c>
      <c r="B18" t="s">
        <v>906</v>
      </c>
      <c r="C18" t="s">
        <v>905</v>
      </c>
      <c r="D18" t="s">
        <v>330</v>
      </c>
      <c r="E18">
        <v>1</v>
      </c>
      <c r="F18">
        <v>1</v>
      </c>
    </row>
    <row r="19" spans="1:6">
      <c r="A19" t="s">
        <v>679</v>
      </c>
      <c r="B19" t="s">
        <v>817</v>
      </c>
      <c r="C19" t="s">
        <v>816</v>
      </c>
      <c r="D19" t="s">
        <v>348</v>
      </c>
      <c r="E19">
        <v>1</v>
      </c>
      <c r="F19">
        <v>1</v>
      </c>
    </row>
    <row r="20" spans="1:6">
      <c r="A20" t="s">
        <v>1153</v>
      </c>
      <c r="B20" t="s">
        <v>851</v>
      </c>
      <c r="C20" t="s">
        <v>850</v>
      </c>
      <c r="D20" t="s">
        <v>308</v>
      </c>
    </row>
    <row r="21" spans="1:6">
      <c r="A21" t="s">
        <v>1155</v>
      </c>
      <c r="B21" t="s">
        <v>833</v>
      </c>
      <c r="C21" t="s">
        <v>832</v>
      </c>
      <c r="D21" t="s">
        <v>343</v>
      </c>
      <c r="E21">
        <v>1</v>
      </c>
      <c r="F21">
        <v>1</v>
      </c>
    </row>
    <row r="22" spans="1:6">
      <c r="A22" t="s">
        <v>1155</v>
      </c>
      <c r="B22" t="s">
        <v>833</v>
      </c>
      <c r="C22" t="s">
        <v>832</v>
      </c>
      <c r="D22" t="s">
        <v>344</v>
      </c>
      <c r="E22">
        <v>1</v>
      </c>
      <c r="F22">
        <v>1</v>
      </c>
    </row>
    <row r="23" spans="1:6">
      <c r="A23" t="s">
        <v>1155</v>
      </c>
      <c r="B23" t="s">
        <v>833</v>
      </c>
      <c r="C23" t="s">
        <v>832</v>
      </c>
      <c r="D23" t="s">
        <v>345</v>
      </c>
    </row>
    <row r="24" spans="1:6">
      <c r="A24" t="s">
        <v>1155</v>
      </c>
      <c r="B24" t="s">
        <v>833</v>
      </c>
      <c r="C24" t="s">
        <v>832</v>
      </c>
      <c r="D24" t="s">
        <v>346</v>
      </c>
      <c r="E24">
        <v>1</v>
      </c>
      <c r="F24">
        <v>1</v>
      </c>
    </row>
    <row r="25" spans="1:6">
      <c r="A25" t="s">
        <v>1153</v>
      </c>
      <c r="B25" t="s">
        <v>795</v>
      </c>
      <c r="C25" t="s">
        <v>794</v>
      </c>
      <c r="D25" t="s">
        <v>312</v>
      </c>
      <c r="E25">
        <v>65</v>
      </c>
      <c r="F25">
        <v>1</v>
      </c>
    </row>
    <row r="26" spans="1:6">
      <c r="A26" t="s">
        <v>1155</v>
      </c>
      <c r="B26" t="s">
        <v>795</v>
      </c>
      <c r="C26" t="s">
        <v>794</v>
      </c>
      <c r="D26" t="s">
        <v>331</v>
      </c>
      <c r="E26">
        <v>8</v>
      </c>
      <c r="F26">
        <v>1</v>
      </c>
    </row>
    <row r="27" spans="1:6">
      <c r="A27" t="s">
        <v>1153</v>
      </c>
      <c r="B27" t="s">
        <v>818</v>
      </c>
      <c r="C27" t="s">
        <v>803</v>
      </c>
      <c r="D27" t="s">
        <v>317</v>
      </c>
    </row>
    <row r="28" spans="1:6">
      <c r="A28" t="s">
        <v>1155</v>
      </c>
      <c r="B28" t="s">
        <v>799</v>
      </c>
      <c r="C28" t="s">
        <v>798</v>
      </c>
      <c r="D28" t="s">
        <v>332</v>
      </c>
      <c r="E28">
        <v>1</v>
      </c>
      <c r="F28">
        <v>1</v>
      </c>
    </row>
    <row r="29" spans="1:6">
      <c r="A29" t="s">
        <v>1155</v>
      </c>
      <c r="B29" t="s">
        <v>799</v>
      </c>
      <c r="C29" t="s">
        <v>798</v>
      </c>
      <c r="D29" t="s">
        <v>333</v>
      </c>
      <c r="E29">
        <v>1</v>
      </c>
      <c r="F29">
        <v>1</v>
      </c>
    </row>
    <row r="30" spans="1:6">
      <c r="A30" t="s">
        <v>1155</v>
      </c>
      <c r="B30" t="s">
        <v>799</v>
      </c>
      <c r="C30" t="s">
        <v>798</v>
      </c>
      <c r="D30" t="s">
        <v>334</v>
      </c>
      <c r="E30">
        <v>12</v>
      </c>
      <c r="F30">
        <v>1</v>
      </c>
    </row>
    <row r="31" spans="1:6">
      <c r="A31" t="s">
        <v>1155</v>
      </c>
      <c r="B31" t="s">
        <v>799</v>
      </c>
      <c r="C31" t="s">
        <v>798</v>
      </c>
      <c r="D31" t="s">
        <v>335</v>
      </c>
      <c r="E31">
        <v>6</v>
      </c>
      <c r="F31">
        <v>1</v>
      </c>
    </row>
    <row r="32" spans="1:6">
      <c r="A32" t="s">
        <v>1155</v>
      </c>
      <c r="B32" t="s">
        <v>799</v>
      </c>
      <c r="C32" t="s">
        <v>798</v>
      </c>
      <c r="D32" t="s">
        <v>285</v>
      </c>
      <c r="E32">
        <v>1</v>
      </c>
      <c r="F32">
        <v>1</v>
      </c>
    </row>
    <row r="33" spans="1:6">
      <c r="A33" t="s">
        <v>1155</v>
      </c>
      <c r="B33" t="s">
        <v>799</v>
      </c>
      <c r="C33" t="s">
        <v>798</v>
      </c>
      <c r="D33" t="s">
        <v>336</v>
      </c>
      <c r="E33">
        <v>2</v>
      </c>
      <c r="F33">
        <v>3</v>
      </c>
    </row>
    <row r="34" spans="1:6">
      <c r="A34" t="s">
        <v>1138</v>
      </c>
      <c r="B34" t="s">
        <v>799</v>
      </c>
      <c r="C34" t="s">
        <v>798</v>
      </c>
      <c r="D34" t="s">
        <v>227</v>
      </c>
      <c r="E34">
        <v>24</v>
      </c>
      <c r="F34">
        <v>1.5</v>
      </c>
    </row>
    <row r="35" spans="1:6">
      <c r="A35" t="s">
        <v>1138</v>
      </c>
      <c r="B35" t="s">
        <v>799</v>
      </c>
      <c r="C35" t="s">
        <v>798</v>
      </c>
      <c r="D35" t="s">
        <v>228</v>
      </c>
      <c r="E35">
        <v>20</v>
      </c>
      <c r="F35">
        <v>1.5</v>
      </c>
    </row>
    <row r="36" spans="1:6">
      <c r="A36" t="s">
        <v>1138</v>
      </c>
      <c r="B36" t="s">
        <v>799</v>
      </c>
      <c r="C36" t="s">
        <v>798</v>
      </c>
      <c r="D36" t="s">
        <v>229</v>
      </c>
      <c r="E36">
        <v>1</v>
      </c>
      <c r="F36">
        <v>1.5</v>
      </c>
    </row>
    <row r="37" spans="1:6">
      <c r="A37" t="s">
        <v>1138</v>
      </c>
      <c r="B37" t="s">
        <v>799</v>
      </c>
      <c r="C37" t="s">
        <v>798</v>
      </c>
      <c r="D37" t="s">
        <v>230</v>
      </c>
      <c r="E37">
        <v>1</v>
      </c>
    </row>
    <row r="38" spans="1:6">
      <c r="A38" t="s">
        <v>1138</v>
      </c>
      <c r="B38" t="s">
        <v>799</v>
      </c>
      <c r="C38" t="s">
        <v>798</v>
      </c>
      <c r="D38" t="s">
        <v>231</v>
      </c>
      <c r="E38">
        <v>3</v>
      </c>
      <c r="F38">
        <v>1</v>
      </c>
    </row>
    <row r="39" spans="1:6">
      <c r="A39" t="s">
        <v>1138</v>
      </c>
      <c r="B39" t="s">
        <v>799</v>
      </c>
      <c r="C39" t="s">
        <v>798</v>
      </c>
      <c r="D39" t="s">
        <v>232</v>
      </c>
      <c r="E39">
        <v>1</v>
      </c>
      <c r="F39">
        <v>1</v>
      </c>
    </row>
    <row r="40" spans="1:6">
      <c r="A40" t="s">
        <v>1138</v>
      </c>
      <c r="B40" t="s">
        <v>799</v>
      </c>
      <c r="C40" t="s">
        <v>798</v>
      </c>
      <c r="D40" t="s">
        <v>233</v>
      </c>
      <c r="E40">
        <v>1</v>
      </c>
      <c r="F40">
        <v>1</v>
      </c>
    </row>
    <row r="41" spans="1:6">
      <c r="A41" t="s">
        <v>1138</v>
      </c>
      <c r="B41" t="s">
        <v>799</v>
      </c>
      <c r="C41" t="s">
        <v>798</v>
      </c>
      <c r="D41" t="s">
        <v>234</v>
      </c>
      <c r="E41">
        <v>4</v>
      </c>
      <c r="F41">
        <v>3</v>
      </c>
    </row>
    <row r="42" spans="1:6">
      <c r="A42" t="s">
        <v>1138</v>
      </c>
      <c r="B42" t="s">
        <v>799</v>
      </c>
      <c r="C42" t="s">
        <v>798</v>
      </c>
      <c r="D42" t="s">
        <v>235</v>
      </c>
      <c r="E42">
        <v>4</v>
      </c>
      <c r="F42">
        <v>1.5</v>
      </c>
    </row>
    <row r="43" spans="1:6">
      <c r="A43" t="s">
        <v>1138</v>
      </c>
      <c r="B43" t="s">
        <v>799</v>
      </c>
      <c r="C43" t="s">
        <v>798</v>
      </c>
      <c r="D43" t="s">
        <v>235</v>
      </c>
      <c r="E43">
        <v>1</v>
      </c>
      <c r="F43">
        <v>1.5</v>
      </c>
    </row>
    <row r="44" spans="1:6">
      <c r="A44" t="s">
        <v>1138</v>
      </c>
      <c r="B44" t="s">
        <v>799</v>
      </c>
      <c r="C44" t="s">
        <v>798</v>
      </c>
      <c r="D44" t="s">
        <v>236</v>
      </c>
      <c r="E44">
        <v>1</v>
      </c>
      <c r="F44">
        <v>1</v>
      </c>
    </row>
    <row r="45" spans="1:6">
      <c r="A45" t="s">
        <v>1138</v>
      </c>
      <c r="B45" t="s">
        <v>799</v>
      </c>
      <c r="C45" t="s">
        <v>798</v>
      </c>
      <c r="D45" t="s">
        <v>237</v>
      </c>
      <c r="E45">
        <v>1</v>
      </c>
      <c r="F45">
        <v>1</v>
      </c>
    </row>
    <row r="46" spans="1:6">
      <c r="A46" t="s">
        <v>1138</v>
      </c>
      <c r="B46" t="s">
        <v>799</v>
      </c>
      <c r="C46" t="s">
        <v>798</v>
      </c>
      <c r="D46" t="s">
        <v>238</v>
      </c>
      <c r="E46">
        <v>4</v>
      </c>
      <c r="F46">
        <v>1.5</v>
      </c>
    </row>
    <row r="47" spans="1:6">
      <c r="A47" t="s">
        <v>1138</v>
      </c>
      <c r="B47" t="s">
        <v>799</v>
      </c>
      <c r="C47" t="s">
        <v>798</v>
      </c>
      <c r="D47" t="s">
        <v>239</v>
      </c>
      <c r="E47">
        <v>4</v>
      </c>
      <c r="F47">
        <v>1</v>
      </c>
    </row>
    <row r="48" spans="1:6">
      <c r="A48" t="s">
        <v>1138</v>
      </c>
      <c r="B48" t="s">
        <v>799</v>
      </c>
      <c r="C48" t="s">
        <v>798</v>
      </c>
      <c r="D48" t="s">
        <v>240</v>
      </c>
      <c r="E48">
        <v>4</v>
      </c>
      <c r="F48">
        <v>1</v>
      </c>
    </row>
    <row r="49" spans="1:6">
      <c r="A49" t="s">
        <v>1138</v>
      </c>
      <c r="B49" t="s">
        <v>799</v>
      </c>
      <c r="C49" t="s">
        <v>798</v>
      </c>
      <c r="D49" t="s">
        <v>241</v>
      </c>
      <c r="E49">
        <v>4</v>
      </c>
      <c r="F49">
        <v>1</v>
      </c>
    </row>
    <row r="50" spans="1:6">
      <c r="A50" t="s">
        <v>1138</v>
      </c>
      <c r="B50" t="s">
        <v>799</v>
      </c>
      <c r="C50" t="s">
        <v>798</v>
      </c>
      <c r="D50" t="s">
        <v>242</v>
      </c>
      <c r="E50">
        <v>4</v>
      </c>
      <c r="F50">
        <v>1</v>
      </c>
    </row>
    <row r="51" spans="1:6">
      <c r="A51" t="s">
        <v>1138</v>
      </c>
      <c r="B51" t="s">
        <v>799</v>
      </c>
      <c r="C51" t="s">
        <v>798</v>
      </c>
      <c r="D51" t="s">
        <v>243</v>
      </c>
      <c r="E51">
        <v>1</v>
      </c>
      <c r="F51">
        <v>1.5</v>
      </c>
    </row>
    <row r="52" spans="1:6">
      <c r="A52" t="s">
        <v>1138</v>
      </c>
      <c r="B52" t="s">
        <v>799</v>
      </c>
      <c r="C52" t="s">
        <v>798</v>
      </c>
      <c r="D52" t="s">
        <v>244</v>
      </c>
      <c r="E52">
        <v>4</v>
      </c>
      <c r="F52">
        <v>3</v>
      </c>
    </row>
    <row r="53" spans="1:6">
      <c r="A53" t="s">
        <v>1138</v>
      </c>
      <c r="B53" t="s">
        <v>799</v>
      </c>
      <c r="C53" t="s">
        <v>798</v>
      </c>
      <c r="D53" t="s">
        <v>245</v>
      </c>
      <c r="E53">
        <v>1</v>
      </c>
      <c r="F53">
        <v>1</v>
      </c>
    </row>
    <row r="54" spans="1:6">
      <c r="A54" t="s">
        <v>1138</v>
      </c>
      <c r="B54" t="s">
        <v>799</v>
      </c>
      <c r="C54" t="s">
        <v>798</v>
      </c>
      <c r="D54" t="s">
        <v>246</v>
      </c>
      <c r="E54">
        <v>1</v>
      </c>
      <c r="F54">
        <v>1</v>
      </c>
    </row>
    <row r="55" spans="1:6">
      <c r="A55" t="s">
        <v>1138</v>
      </c>
      <c r="B55" t="s">
        <v>799</v>
      </c>
      <c r="C55" t="s">
        <v>798</v>
      </c>
      <c r="D55" t="s">
        <v>247</v>
      </c>
      <c r="E55">
        <v>1</v>
      </c>
      <c r="F55">
        <v>3</v>
      </c>
    </row>
    <row r="56" spans="1:6">
      <c r="A56" t="s">
        <v>1138</v>
      </c>
      <c r="B56" t="s">
        <v>799</v>
      </c>
      <c r="C56" t="s">
        <v>798</v>
      </c>
      <c r="D56" t="s">
        <v>248</v>
      </c>
      <c r="E56">
        <v>1</v>
      </c>
      <c r="F56">
        <v>1</v>
      </c>
    </row>
    <row r="57" spans="1:6">
      <c r="A57" t="s">
        <v>1147</v>
      </c>
      <c r="B57" t="s">
        <v>799</v>
      </c>
      <c r="C57" t="s">
        <v>798</v>
      </c>
      <c r="D57" t="s">
        <v>280</v>
      </c>
      <c r="E57">
        <v>1</v>
      </c>
      <c r="F57">
        <v>1</v>
      </c>
    </row>
    <row r="58" spans="1:6">
      <c r="A58" t="s">
        <v>1147</v>
      </c>
      <c r="B58" t="s">
        <v>799</v>
      </c>
      <c r="C58" t="s">
        <v>798</v>
      </c>
      <c r="D58" t="s">
        <v>281</v>
      </c>
      <c r="E58">
        <v>6</v>
      </c>
      <c r="F58">
        <v>1</v>
      </c>
    </row>
    <row r="59" spans="1:6">
      <c r="A59" t="s">
        <v>1147</v>
      </c>
      <c r="B59" t="s">
        <v>799</v>
      </c>
      <c r="C59" t="s">
        <v>798</v>
      </c>
      <c r="D59" t="s">
        <v>282</v>
      </c>
      <c r="E59">
        <v>6</v>
      </c>
      <c r="F59">
        <v>1</v>
      </c>
    </row>
    <row r="60" spans="1:6">
      <c r="A60" t="s">
        <v>1147</v>
      </c>
      <c r="B60" t="s">
        <v>799</v>
      </c>
      <c r="C60" t="s">
        <v>798</v>
      </c>
      <c r="D60" t="s">
        <v>283</v>
      </c>
      <c r="E60">
        <v>1</v>
      </c>
      <c r="F60">
        <v>1</v>
      </c>
    </row>
    <row r="61" spans="1:6">
      <c r="A61" t="s">
        <v>1147</v>
      </c>
      <c r="B61" t="s">
        <v>799</v>
      </c>
      <c r="C61" t="s">
        <v>798</v>
      </c>
      <c r="D61" t="s">
        <v>284</v>
      </c>
      <c r="E61">
        <v>1</v>
      </c>
      <c r="F61">
        <v>1</v>
      </c>
    </row>
    <row r="62" spans="1:6">
      <c r="A62" t="s">
        <v>1147</v>
      </c>
      <c r="B62" t="s">
        <v>799</v>
      </c>
      <c r="C62" t="s">
        <v>798</v>
      </c>
      <c r="D62" t="s">
        <v>285</v>
      </c>
      <c r="E62">
        <v>1</v>
      </c>
      <c r="F62">
        <v>1</v>
      </c>
    </row>
    <row r="63" spans="1:6">
      <c r="A63" t="s">
        <v>1147</v>
      </c>
      <c r="B63" t="s">
        <v>799</v>
      </c>
      <c r="C63" t="s">
        <v>798</v>
      </c>
      <c r="D63" t="s">
        <v>286</v>
      </c>
      <c r="E63">
        <v>2</v>
      </c>
      <c r="F63">
        <v>3</v>
      </c>
    </row>
    <row r="64" spans="1:6">
      <c r="A64" t="s">
        <v>1152</v>
      </c>
      <c r="B64" t="s">
        <v>799</v>
      </c>
      <c r="C64" t="s">
        <v>798</v>
      </c>
      <c r="D64" t="s">
        <v>290</v>
      </c>
      <c r="E64">
        <v>1</v>
      </c>
      <c r="F64">
        <v>1</v>
      </c>
    </row>
    <row r="65" spans="1:6">
      <c r="A65" t="s">
        <v>1152</v>
      </c>
      <c r="B65" t="s">
        <v>799</v>
      </c>
      <c r="C65" t="s">
        <v>798</v>
      </c>
      <c r="D65" t="s">
        <v>291</v>
      </c>
      <c r="E65">
        <v>1</v>
      </c>
      <c r="F65">
        <v>1</v>
      </c>
    </row>
    <row r="66" spans="1:6">
      <c r="A66" t="s">
        <v>1152</v>
      </c>
      <c r="B66" t="s">
        <v>799</v>
      </c>
      <c r="C66" t="s">
        <v>798</v>
      </c>
      <c r="D66" t="s">
        <v>292</v>
      </c>
      <c r="E66">
        <v>12</v>
      </c>
      <c r="F66">
        <v>1</v>
      </c>
    </row>
    <row r="67" spans="1:6">
      <c r="A67" t="s">
        <v>1152</v>
      </c>
      <c r="B67" t="s">
        <v>799</v>
      </c>
      <c r="C67" t="s">
        <v>798</v>
      </c>
      <c r="D67" t="s">
        <v>293</v>
      </c>
      <c r="E67">
        <v>1</v>
      </c>
      <c r="F67">
        <v>1</v>
      </c>
    </row>
    <row r="68" spans="1:6">
      <c r="A68" t="s">
        <v>1152</v>
      </c>
      <c r="B68" t="s">
        <v>799</v>
      </c>
      <c r="C68" t="s">
        <v>798</v>
      </c>
      <c r="D68" t="s">
        <v>296</v>
      </c>
      <c r="E68">
        <v>6</v>
      </c>
      <c r="F68">
        <v>1</v>
      </c>
    </row>
    <row r="69" spans="1:6">
      <c r="A69" t="s">
        <v>1152</v>
      </c>
      <c r="B69" t="s">
        <v>799</v>
      </c>
      <c r="C69" t="s">
        <v>798</v>
      </c>
      <c r="D69" t="s">
        <v>297</v>
      </c>
      <c r="E69">
        <v>2</v>
      </c>
      <c r="F69">
        <v>1</v>
      </c>
    </row>
    <row r="70" spans="1:6">
      <c r="A70" t="s">
        <v>1152</v>
      </c>
      <c r="B70" t="s">
        <v>799</v>
      </c>
      <c r="C70" t="s">
        <v>798</v>
      </c>
      <c r="D70" t="s">
        <v>298</v>
      </c>
      <c r="E70">
        <v>60</v>
      </c>
      <c r="F70">
        <v>1</v>
      </c>
    </row>
    <row r="71" spans="1:6">
      <c r="A71" t="s">
        <v>1152</v>
      </c>
      <c r="B71" t="s">
        <v>799</v>
      </c>
      <c r="C71" t="s">
        <v>798</v>
      </c>
      <c r="D71" t="s">
        <v>299</v>
      </c>
      <c r="E71">
        <v>1</v>
      </c>
      <c r="F71">
        <v>1</v>
      </c>
    </row>
    <row r="72" spans="1:6">
      <c r="A72" t="s">
        <v>1147</v>
      </c>
      <c r="B72" t="s">
        <v>1149</v>
      </c>
      <c r="C72" t="s">
        <v>820</v>
      </c>
      <c r="D72" t="s">
        <v>279</v>
      </c>
      <c r="E72">
        <v>1</v>
      </c>
      <c r="F72">
        <v>1</v>
      </c>
    </row>
    <row r="73" spans="1:6">
      <c r="A73" t="s">
        <v>1155</v>
      </c>
      <c r="B73" t="s">
        <v>813</v>
      </c>
      <c r="C73" t="s">
        <v>812</v>
      </c>
      <c r="D73" t="s">
        <v>337</v>
      </c>
      <c r="E73">
        <v>8</v>
      </c>
      <c r="F73">
        <v>1</v>
      </c>
    </row>
    <row r="74" spans="1:6">
      <c r="A74" t="s">
        <v>1155</v>
      </c>
      <c r="B74" t="s">
        <v>813</v>
      </c>
      <c r="C74" t="s">
        <v>812</v>
      </c>
      <c r="D74" t="s">
        <v>338</v>
      </c>
      <c r="E74">
        <v>50</v>
      </c>
      <c r="F74">
        <v>1</v>
      </c>
    </row>
    <row r="75" spans="1:6">
      <c r="A75" t="s">
        <v>1146</v>
      </c>
      <c r="B75" t="s">
        <v>861</v>
      </c>
      <c r="C75" t="s">
        <v>815</v>
      </c>
      <c r="D75" t="s">
        <v>271</v>
      </c>
      <c r="E75">
        <v>20</v>
      </c>
      <c r="F75">
        <v>1</v>
      </c>
    </row>
    <row r="76" spans="1:6">
      <c r="A76" t="s">
        <v>1146</v>
      </c>
      <c r="B76" t="s">
        <v>861</v>
      </c>
      <c r="C76" t="s">
        <v>815</v>
      </c>
      <c r="D76" t="s">
        <v>272</v>
      </c>
      <c r="E76">
        <v>20</v>
      </c>
      <c r="F76">
        <v>1</v>
      </c>
    </row>
    <row r="77" spans="1:6">
      <c r="A77" t="s">
        <v>1147</v>
      </c>
      <c r="B77" t="s">
        <v>861</v>
      </c>
      <c r="C77" t="s">
        <v>815</v>
      </c>
      <c r="D77" t="s">
        <v>274</v>
      </c>
      <c r="E77">
        <v>45</v>
      </c>
      <c r="F77">
        <v>1</v>
      </c>
    </row>
    <row r="78" spans="1:6">
      <c r="A78" t="s">
        <v>1147</v>
      </c>
      <c r="B78" t="s">
        <v>861</v>
      </c>
      <c r="C78" t="s">
        <v>815</v>
      </c>
      <c r="D78" t="s">
        <v>275</v>
      </c>
      <c r="E78">
        <v>50</v>
      </c>
      <c r="F78">
        <v>1</v>
      </c>
    </row>
    <row r="79" spans="1:6">
      <c r="A79" t="s">
        <v>1147</v>
      </c>
      <c r="B79" t="s">
        <v>861</v>
      </c>
      <c r="C79" t="s">
        <v>815</v>
      </c>
      <c r="D79" t="s">
        <v>276</v>
      </c>
      <c r="E79">
        <v>10</v>
      </c>
      <c r="F79">
        <v>1</v>
      </c>
    </row>
    <row r="80" spans="1:6">
      <c r="A80" t="s">
        <v>1147</v>
      </c>
      <c r="B80" t="s">
        <v>861</v>
      </c>
      <c r="C80" t="s">
        <v>815</v>
      </c>
      <c r="D80" t="s">
        <v>277</v>
      </c>
      <c r="E80">
        <v>45</v>
      </c>
      <c r="F80">
        <v>1</v>
      </c>
    </row>
    <row r="81" spans="1:6">
      <c r="A81" t="s">
        <v>1147</v>
      </c>
      <c r="B81" t="s">
        <v>861</v>
      </c>
      <c r="C81" t="s">
        <v>815</v>
      </c>
      <c r="D81" t="s">
        <v>278</v>
      </c>
      <c r="E81">
        <v>6</v>
      </c>
      <c r="F81">
        <v>1</v>
      </c>
    </row>
    <row r="82" spans="1:6">
      <c r="A82" t="s">
        <v>1152</v>
      </c>
      <c r="B82" t="s">
        <v>861</v>
      </c>
      <c r="C82" t="s">
        <v>815</v>
      </c>
      <c r="D82" t="s">
        <v>294</v>
      </c>
      <c r="E82">
        <v>50</v>
      </c>
      <c r="F82">
        <v>1</v>
      </c>
    </row>
    <row r="83" spans="1:6">
      <c r="A83" t="s">
        <v>1152</v>
      </c>
      <c r="B83" t="s">
        <v>861</v>
      </c>
      <c r="C83" t="s">
        <v>815</v>
      </c>
      <c r="D83" t="s">
        <v>295</v>
      </c>
      <c r="E83">
        <v>50</v>
      </c>
      <c r="F83">
        <v>1</v>
      </c>
    </row>
    <row r="84" spans="1:6">
      <c r="A84" t="s">
        <v>1152</v>
      </c>
      <c r="B84" t="s">
        <v>861</v>
      </c>
      <c r="C84" t="s">
        <v>815</v>
      </c>
      <c r="D84" t="s">
        <v>301</v>
      </c>
      <c r="E84">
        <v>50</v>
      </c>
      <c r="F84">
        <v>1</v>
      </c>
    </row>
    <row r="85" spans="1:6">
      <c r="A85" t="s">
        <v>1152</v>
      </c>
      <c r="B85" t="s">
        <v>861</v>
      </c>
      <c r="C85" t="s">
        <v>815</v>
      </c>
      <c r="D85" t="s">
        <v>302</v>
      </c>
      <c r="E85">
        <v>50</v>
      </c>
      <c r="F85">
        <v>1</v>
      </c>
    </row>
    <row r="86" spans="1:6">
      <c r="A86" t="s">
        <v>1155</v>
      </c>
      <c r="B86" t="s">
        <v>861</v>
      </c>
      <c r="C86" t="s">
        <v>815</v>
      </c>
      <c r="D86" t="s">
        <v>278</v>
      </c>
      <c r="E86">
        <v>10</v>
      </c>
      <c r="F86">
        <v>1</v>
      </c>
    </row>
    <row r="87" spans="1:6">
      <c r="A87" t="s">
        <v>1155</v>
      </c>
      <c r="B87" t="s">
        <v>861</v>
      </c>
      <c r="C87" t="s">
        <v>815</v>
      </c>
      <c r="D87" t="s">
        <v>339</v>
      </c>
      <c r="E87">
        <v>50</v>
      </c>
      <c r="F87">
        <v>1</v>
      </c>
    </row>
    <row r="88" spans="1:6">
      <c r="A88" t="s">
        <v>1155</v>
      </c>
      <c r="B88" t="s">
        <v>861</v>
      </c>
      <c r="C88" t="s">
        <v>815</v>
      </c>
      <c r="D88" t="s">
        <v>340</v>
      </c>
      <c r="E88">
        <v>50</v>
      </c>
      <c r="F88">
        <v>1</v>
      </c>
    </row>
    <row r="89" spans="1:6">
      <c r="A89" t="s">
        <v>1155</v>
      </c>
      <c r="B89" t="s">
        <v>861</v>
      </c>
      <c r="C89" t="s">
        <v>815</v>
      </c>
      <c r="D89" t="s">
        <v>275</v>
      </c>
      <c r="E89">
        <v>50</v>
      </c>
      <c r="F89">
        <v>1</v>
      </c>
    </row>
    <row r="90" spans="1:6">
      <c r="A90" t="s">
        <v>1155</v>
      </c>
      <c r="B90" t="s">
        <v>861</v>
      </c>
      <c r="C90" t="s">
        <v>815</v>
      </c>
      <c r="D90" t="s">
        <v>341</v>
      </c>
      <c r="E90">
        <v>51</v>
      </c>
      <c r="F90">
        <v>1</v>
      </c>
    </row>
    <row r="91" spans="1:6">
      <c r="A91" t="s">
        <v>1138</v>
      </c>
      <c r="B91" t="s">
        <v>1141</v>
      </c>
      <c r="C91" t="s">
        <v>791</v>
      </c>
      <c r="D91" t="s">
        <v>221</v>
      </c>
      <c r="E91">
        <v>220</v>
      </c>
      <c r="F91">
        <v>1</v>
      </c>
    </row>
    <row r="92" spans="1:6">
      <c r="A92" t="s">
        <v>1138</v>
      </c>
      <c r="B92" t="s">
        <v>1141</v>
      </c>
      <c r="C92" t="s">
        <v>791</v>
      </c>
      <c r="D92" t="s">
        <v>222</v>
      </c>
      <c r="E92">
        <v>8</v>
      </c>
      <c r="F92">
        <v>1</v>
      </c>
    </row>
    <row r="93" spans="1:6">
      <c r="A93" t="s">
        <v>1138</v>
      </c>
      <c r="B93" t="s">
        <v>1141</v>
      </c>
      <c r="C93" t="s">
        <v>791</v>
      </c>
      <c r="D93" t="s">
        <v>223</v>
      </c>
      <c r="E93">
        <v>20</v>
      </c>
      <c r="F93">
        <v>1</v>
      </c>
    </row>
    <row r="94" spans="1:6">
      <c r="A94" t="s">
        <v>1138</v>
      </c>
      <c r="B94" t="s">
        <v>1141</v>
      </c>
      <c r="C94" t="s">
        <v>791</v>
      </c>
      <c r="D94" t="s">
        <v>224</v>
      </c>
      <c r="E94">
        <v>250</v>
      </c>
      <c r="F94">
        <v>1</v>
      </c>
    </row>
    <row r="95" spans="1:6">
      <c r="A95" t="s">
        <v>1153</v>
      </c>
      <c r="B95" t="s">
        <v>841</v>
      </c>
      <c r="C95" t="s">
        <v>840</v>
      </c>
      <c r="D95" t="s">
        <v>326</v>
      </c>
      <c r="E95">
        <v>65</v>
      </c>
      <c r="F95">
        <v>1</v>
      </c>
    </row>
    <row r="96" spans="1:6">
      <c r="A96" t="s">
        <v>1143</v>
      </c>
      <c r="B96" t="s">
        <v>1142</v>
      </c>
      <c r="C96" t="s">
        <v>1423</v>
      </c>
      <c r="D96" t="s">
        <v>259</v>
      </c>
      <c r="E96">
        <v>1</v>
      </c>
      <c r="F96">
        <v>1</v>
      </c>
    </row>
    <row r="97" spans="1:6">
      <c r="A97" t="s">
        <v>1143</v>
      </c>
      <c r="B97" t="s">
        <v>1142</v>
      </c>
      <c r="C97" t="s">
        <v>1423</v>
      </c>
      <c r="D97" t="s">
        <v>260</v>
      </c>
      <c r="F97">
        <v>1</v>
      </c>
    </row>
    <row r="98" spans="1:6">
      <c r="A98" t="s">
        <v>1151</v>
      </c>
      <c r="B98" t="s">
        <v>1142</v>
      </c>
      <c r="C98" t="s">
        <v>1423</v>
      </c>
      <c r="D98" t="s">
        <v>288</v>
      </c>
      <c r="E98">
        <v>1</v>
      </c>
      <c r="F98">
        <v>1</v>
      </c>
    </row>
    <row r="99" spans="1:6">
      <c r="A99" t="s">
        <v>1151</v>
      </c>
      <c r="B99" t="s">
        <v>1142</v>
      </c>
      <c r="C99" t="s">
        <v>1423</v>
      </c>
      <c r="D99" t="s">
        <v>289</v>
      </c>
      <c r="E99">
        <v>1</v>
      </c>
      <c r="F99">
        <v>1</v>
      </c>
    </row>
    <row r="100" spans="1:6">
      <c r="A100" t="s">
        <v>1138</v>
      </c>
      <c r="B100" t="s">
        <v>1142</v>
      </c>
      <c r="C100" t="s">
        <v>1423</v>
      </c>
      <c r="D100" t="s">
        <v>253</v>
      </c>
      <c r="E100">
        <v>1</v>
      </c>
      <c r="F100">
        <v>1</v>
      </c>
    </row>
    <row r="101" spans="1:6">
      <c r="A101" t="s">
        <v>1146</v>
      </c>
      <c r="B101" t="s">
        <v>1142</v>
      </c>
      <c r="C101" t="s">
        <v>1423</v>
      </c>
      <c r="D101" t="s">
        <v>260</v>
      </c>
      <c r="E101">
        <v>1</v>
      </c>
      <c r="F101">
        <v>1</v>
      </c>
    </row>
    <row r="102" spans="1:6">
      <c r="A102" t="s">
        <v>1152</v>
      </c>
      <c r="B102" t="s">
        <v>1142</v>
      </c>
      <c r="C102" t="s">
        <v>1423</v>
      </c>
      <c r="D102" t="s">
        <v>303</v>
      </c>
      <c r="E102">
        <v>1</v>
      </c>
      <c r="F102">
        <v>1</v>
      </c>
    </row>
    <row r="103" spans="1:6">
      <c r="A103" t="s">
        <v>1152</v>
      </c>
      <c r="B103" t="s">
        <v>1142</v>
      </c>
      <c r="C103" t="s">
        <v>1423</v>
      </c>
      <c r="D103" t="s">
        <v>304</v>
      </c>
      <c r="E103">
        <v>1</v>
      </c>
      <c r="F103">
        <v>1</v>
      </c>
    </row>
    <row r="104" spans="1:6">
      <c r="A104" t="s">
        <v>1153</v>
      </c>
      <c r="B104" t="s">
        <v>1142</v>
      </c>
      <c r="C104" t="s">
        <v>1423</v>
      </c>
      <c r="D104" t="s">
        <v>253</v>
      </c>
      <c r="F104">
        <v>0.1</v>
      </c>
    </row>
    <row r="105" spans="1:6">
      <c r="A105" t="s">
        <v>1153</v>
      </c>
      <c r="B105" t="s">
        <v>1142</v>
      </c>
      <c r="C105" t="s">
        <v>1423</v>
      </c>
      <c r="D105" t="s">
        <v>318</v>
      </c>
      <c r="F105">
        <v>0.14000000000000001</v>
      </c>
    </row>
    <row r="106" spans="1:6">
      <c r="A106" t="s">
        <v>1155</v>
      </c>
      <c r="B106" t="s">
        <v>1142</v>
      </c>
      <c r="C106" t="s">
        <v>1423</v>
      </c>
      <c r="D106" t="s">
        <v>253</v>
      </c>
    </row>
    <row r="107" spans="1:6">
      <c r="A107" t="s">
        <v>679</v>
      </c>
      <c r="B107" t="s">
        <v>1142</v>
      </c>
      <c r="C107" t="s">
        <v>1423</v>
      </c>
      <c r="D107" t="s">
        <v>349</v>
      </c>
      <c r="E107">
        <v>0.1</v>
      </c>
      <c r="F107">
        <v>1</v>
      </c>
    </row>
    <row r="108" spans="1:6">
      <c r="A108" t="s">
        <v>679</v>
      </c>
      <c r="B108" t="s">
        <v>1142</v>
      </c>
      <c r="C108" t="s">
        <v>1423</v>
      </c>
      <c r="D108" t="s">
        <v>350</v>
      </c>
      <c r="E108">
        <v>0.14000000000000001</v>
      </c>
      <c r="F108">
        <v>1</v>
      </c>
    </row>
    <row r="109" spans="1:6">
      <c r="A109" t="s">
        <v>1147</v>
      </c>
      <c r="B109" t="s">
        <v>1142</v>
      </c>
      <c r="C109" t="s">
        <v>1423</v>
      </c>
      <c r="D109" t="s">
        <v>253</v>
      </c>
      <c r="E109">
        <v>1</v>
      </c>
      <c r="F109">
        <v>1</v>
      </c>
    </row>
    <row r="110" spans="1:6">
      <c r="A110" t="s">
        <v>1138</v>
      </c>
      <c r="B110" t="s">
        <v>1070</v>
      </c>
      <c r="C110" t="s">
        <v>1075</v>
      </c>
      <c r="D110" t="s">
        <v>225</v>
      </c>
      <c r="E110">
        <v>1</v>
      </c>
      <c r="F110">
        <v>1</v>
      </c>
    </row>
    <row r="111" spans="1:6">
      <c r="A111" t="s">
        <v>1138</v>
      </c>
      <c r="B111" t="s">
        <v>1070</v>
      </c>
      <c r="C111" t="s">
        <v>1075</v>
      </c>
      <c r="D111" t="s">
        <v>226</v>
      </c>
      <c r="E111">
        <v>2</v>
      </c>
      <c r="F111">
        <v>1</v>
      </c>
    </row>
    <row r="112" spans="1:6">
      <c r="A112" t="s">
        <v>1152</v>
      </c>
      <c r="B112" t="s">
        <v>906</v>
      </c>
      <c r="C112" t="s">
        <v>905</v>
      </c>
      <c r="D112" t="s">
        <v>300</v>
      </c>
      <c r="E112">
        <v>1</v>
      </c>
      <c r="F112">
        <v>1</v>
      </c>
    </row>
    <row r="113" spans="1:6">
      <c r="A113" t="s">
        <v>1151</v>
      </c>
      <c r="B113" t="s">
        <v>834</v>
      </c>
      <c r="C113" t="s">
        <v>824</v>
      </c>
      <c r="D113" t="s">
        <v>287</v>
      </c>
      <c r="E113">
        <v>60</v>
      </c>
      <c r="F113">
        <v>1</v>
      </c>
    </row>
    <row r="114" spans="1:6">
      <c r="A114" t="s">
        <v>1143</v>
      </c>
      <c r="B114" t="s">
        <v>1144</v>
      </c>
      <c r="C114" t="e">
        <v>#N/A</v>
      </c>
      <c r="D114" t="s">
        <v>254</v>
      </c>
      <c r="E114">
        <v>20</v>
      </c>
      <c r="F114">
        <v>2</v>
      </c>
    </row>
    <row r="115" spans="1:6">
      <c r="A115" t="s">
        <v>1143</v>
      </c>
      <c r="B115" t="s">
        <v>1144</v>
      </c>
      <c r="C115" t="e">
        <v>#N/A</v>
      </c>
      <c r="D115" t="s">
        <v>254</v>
      </c>
      <c r="E115">
        <v>20</v>
      </c>
      <c r="F115">
        <v>2</v>
      </c>
    </row>
    <row r="116" spans="1:6">
      <c r="A116" t="s">
        <v>1153</v>
      </c>
      <c r="B116" t="s">
        <v>1154</v>
      </c>
      <c r="C116" t="e">
        <v>#N/A</v>
      </c>
      <c r="D116" t="s">
        <v>313</v>
      </c>
      <c r="E116">
        <v>65</v>
      </c>
      <c r="F116">
        <v>1</v>
      </c>
    </row>
    <row r="117" spans="1:6">
      <c r="A117" t="s">
        <v>1143</v>
      </c>
      <c r="B117" t="s">
        <v>802</v>
      </c>
      <c r="C117" t="s">
        <v>801</v>
      </c>
      <c r="D117" t="s">
        <v>263</v>
      </c>
      <c r="E117">
        <v>28</v>
      </c>
      <c r="F117">
        <v>1</v>
      </c>
    </row>
    <row r="118" spans="1:6">
      <c r="A118" t="s">
        <v>1143</v>
      </c>
      <c r="B118" t="s">
        <v>860</v>
      </c>
      <c r="C118" t="s">
        <v>822</v>
      </c>
      <c r="D118" t="s">
        <v>262</v>
      </c>
      <c r="E118">
        <v>40</v>
      </c>
      <c r="F118">
        <v>1</v>
      </c>
    </row>
    <row r="119" spans="1:6">
      <c r="A119" t="s">
        <v>1143</v>
      </c>
      <c r="B119" t="s">
        <v>860</v>
      </c>
      <c r="C119" t="s">
        <v>822</v>
      </c>
      <c r="D119" t="s">
        <v>264</v>
      </c>
      <c r="E119">
        <v>28</v>
      </c>
      <c r="F119">
        <v>1</v>
      </c>
    </row>
    <row r="120" spans="1:6">
      <c r="A120" t="s">
        <v>1143</v>
      </c>
      <c r="B120" t="s">
        <v>860</v>
      </c>
      <c r="C120" t="s">
        <v>822</v>
      </c>
      <c r="D120" t="s">
        <v>264</v>
      </c>
      <c r="E120">
        <v>28</v>
      </c>
      <c r="F120">
        <v>1</v>
      </c>
    </row>
    <row r="121" spans="1:6">
      <c r="A121" t="s">
        <v>1143</v>
      </c>
      <c r="B121" t="s">
        <v>860</v>
      </c>
      <c r="C121" t="s">
        <v>822</v>
      </c>
      <c r="D121" t="s">
        <v>265</v>
      </c>
      <c r="E121">
        <v>28</v>
      </c>
      <c r="F121">
        <v>1</v>
      </c>
    </row>
    <row r="122" spans="1:6">
      <c r="A122" t="s">
        <v>1143</v>
      </c>
      <c r="B122" t="s">
        <v>860</v>
      </c>
      <c r="C122" t="s">
        <v>822</v>
      </c>
      <c r="D122" t="s">
        <v>267</v>
      </c>
      <c r="E122">
        <v>2</v>
      </c>
      <c r="F122">
        <v>2</v>
      </c>
    </row>
    <row r="123" spans="1:6">
      <c r="A123" t="s">
        <v>1143</v>
      </c>
      <c r="B123" t="s">
        <v>860</v>
      </c>
      <c r="C123" t="s">
        <v>822</v>
      </c>
      <c r="D123" t="s">
        <v>268</v>
      </c>
      <c r="E123">
        <v>5</v>
      </c>
      <c r="F123">
        <v>2</v>
      </c>
    </row>
    <row r="124" spans="1:6">
      <c r="A124" t="s">
        <v>1143</v>
      </c>
      <c r="B124" t="s">
        <v>860</v>
      </c>
      <c r="C124" t="s">
        <v>822</v>
      </c>
      <c r="D124" t="s">
        <v>268</v>
      </c>
      <c r="E124">
        <v>8</v>
      </c>
      <c r="F124">
        <v>2</v>
      </c>
    </row>
    <row r="125" spans="1:6">
      <c r="A125" t="s">
        <v>1143</v>
      </c>
      <c r="B125" t="s">
        <v>860</v>
      </c>
      <c r="C125" t="s">
        <v>822</v>
      </c>
      <c r="D125" t="s">
        <v>269</v>
      </c>
      <c r="E125">
        <v>2</v>
      </c>
      <c r="F125">
        <v>2</v>
      </c>
    </row>
    <row r="126" spans="1:6">
      <c r="A126" t="s">
        <v>1143</v>
      </c>
      <c r="B126" t="s">
        <v>860</v>
      </c>
      <c r="C126" t="s">
        <v>822</v>
      </c>
      <c r="D126" t="s">
        <v>270</v>
      </c>
      <c r="E126">
        <v>10</v>
      </c>
      <c r="F126">
        <v>2</v>
      </c>
    </row>
    <row r="127" spans="1:6">
      <c r="A127" t="s">
        <v>1143</v>
      </c>
      <c r="B127" t="s">
        <v>860</v>
      </c>
      <c r="C127" t="s">
        <v>822</v>
      </c>
      <c r="D127" t="s">
        <v>270</v>
      </c>
      <c r="E127">
        <v>16</v>
      </c>
      <c r="F127">
        <v>2</v>
      </c>
    </row>
    <row r="128" spans="1:6">
      <c r="A128" t="s">
        <v>1143</v>
      </c>
      <c r="B128" t="s">
        <v>863</v>
      </c>
      <c r="C128" t="s">
        <v>862</v>
      </c>
      <c r="D128" t="s">
        <v>255</v>
      </c>
      <c r="E128">
        <v>1</v>
      </c>
      <c r="F128">
        <v>2</v>
      </c>
    </row>
    <row r="129" spans="1:6">
      <c r="A129" t="s">
        <v>1143</v>
      </c>
      <c r="B129" t="s">
        <v>863</v>
      </c>
      <c r="C129" t="s">
        <v>862</v>
      </c>
      <c r="D129" t="s">
        <v>256</v>
      </c>
      <c r="E129">
        <v>1</v>
      </c>
      <c r="F129">
        <v>1</v>
      </c>
    </row>
    <row r="130" spans="1:6">
      <c r="A130" t="s">
        <v>1143</v>
      </c>
      <c r="B130" t="s">
        <v>863</v>
      </c>
      <c r="C130" t="s">
        <v>862</v>
      </c>
      <c r="D130" t="s">
        <v>257</v>
      </c>
      <c r="E130">
        <v>4</v>
      </c>
      <c r="F130">
        <v>2</v>
      </c>
    </row>
    <row r="131" spans="1:6">
      <c r="A131" t="s">
        <v>1143</v>
      </c>
      <c r="B131" t="s">
        <v>863</v>
      </c>
      <c r="C131" t="s">
        <v>862</v>
      </c>
      <c r="D131" t="s">
        <v>258</v>
      </c>
      <c r="E131">
        <v>1</v>
      </c>
      <c r="F131">
        <v>1</v>
      </c>
    </row>
    <row r="132" spans="1:6">
      <c r="A132" t="s">
        <v>1153</v>
      </c>
      <c r="B132" t="s">
        <v>863</v>
      </c>
      <c r="C132" t="s">
        <v>862</v>
      </c>
      <c r="D132" t="s">
        <v>305</v>
      </c>
      <c r="E132">
        <v>65</v>
      </c>
      <c r="F132">
        <v>1</v>
      </c>
    </row>
    <row r="133" spans="1:6">
      <c r="A133" t="s">
        <v>1153</v>
      </c>
      <c r="B133" t="s">
        <v>863</v>
      </c>
      <c r="C133" t="s">
        <v>862</v>
      </c>
      <c r="D133" t="s">
        <v>256</v>
      </c>
      <c r="E133">
        <v>1</v>
      </c>
      <c r="F133">
        <v>1</v>
      </c>
    </row>
    <row r="134" spans="1:6">
      <c r="A134" t="s">
        <v>1153</v>
      </c>
      <c r="B134" t="s">
        <v>863</v>
      </c>
      <c r="C134" t="s">
        <v>862</v>
      </c>
      <c r="D134" t="s">
        <v>255</v>
      </c>
      <c r="E134">
        <v>1</v>
      </c>
      <c r="F134">
        <v>2</v>
      </c>
    </row>
    <row r="135" spans="1:6">
      <c r="A135" t="s">
        <v>1153</v>
      </c>
      <c r="B135" t="s">
        <v>863</v>
      </c>
      <c r="C135" t="s">
        <v>862</v>
      </c>
      <c r="D135" t="s">
        <v>322</v>
      </c>
      <c r="E135">
        <v>2</v>
      </c>
      <c r="F135">
        <v>1</v>
      </c>
    </row>
    <row r="136" spans="1:6">
      <c r="A136" t="s">
        <v>1153</v>
      </c>
      <c r="B136" t="s">
        <v>863</v>
      </c>
      <c r="C136" t="s">
        <v>862</v>
      </c>
      <c r="D136" t="s">
        <v>323</v>
      </c>
      <c r="E136">
        <v>2</v>
      </c>
      <c r="F136">
        <v>1</v>
      </c>
    </row>
    <row r="137" spans="1:6">
      <c r="A137" t="s">
        <v>1155</v>
      </c>
      <c r="B137" t="s">
        <v>863</v>
      </c>
      <c r="C137" t="s">
        <v>862</v>
      </c>
      <c r="D137" t="s">
        <v>342</v>
      </c>
    </row>
    <row r="138" spans="1:6">
      <c r="A138" t="s">
        <v>1138</v>
      </c>
      <c r="B138" t="s">
        <v>797</v>
      </c>
      <c r="C138" t="s">
        <v>796</v>
      </c>
      <c r="D138" t="s">
        <v>203</v>
      </c>
      <c r="E138">
        <v>1</v>
      </c>
      <c r="F138">
        <v>1</v>
      </c>
    </row>
    <row r="139" spans="1:6">
      <c r="A139" t="s">
        <v>1138</v>
      </c>
      <c r="B139" t="s">
        <v>797</v>
      </c>
      <c r="C139" t="s">
        <v>796</v>
      </c>
      <c r="D139" t="s">
        <v>204</v>
      </c>
      <c r="E139">
        <v>2</v>
      </c>
      <c r="F139">
        <v>1</v>
      </c>
    </row>
    <row r="140" spans="1:6">
      <c r="A140" t="s">
        <v>1138</v>
      </c>
      <c r="B140" t="s">
        <v>797</v>
      </c>
      <c r="C140" t="s">
        <v>796</v>
      </c>
      <c r="D140" t="s">
        <v>205</v>
      </c>
      <c r="E140">
        <v>30</v>
      </c>
      <c r="F140">
        <v>1</v>
      </c>
    </row>
    <row r="141" spans="1:6">
      <c r="A141" t="s">
        <v>1138</v>
      </c>
      <c r="B141" t="s">
        <v>797</v>
      </c>
      <c r="C141" t="s">
        <v>796</v>
      </c>
      <c r="D141" t="s">
        <v>206</v>
      </c>
      <c r="E141">
        <v>5</v>
      </c>
      <c r="F141">
        <v>1</v>
      </c>
    </row>
    <row r="142" spans="1:6">
      <c r="A142" t="s">
        <v>1138</v>
      </c>
      <c r="B142" t="s">
        <v>797</v>
      </c>
      <c r="C142" t="s">
        <v>796</v>
      </c>
      <c r="D142" t="s">
        <v>207</v>
      </c>
      <c r="E142">
        <v>5</v>
      </c>
      <c r="F142">
        <v>1</v>
      </c>
    </row>
    <row r="143" spans="1:6">
      <c r="A143" t="s">
        <v>1138</v>
      </c>
      <c r="B143" t="s">
        <v>797</v>
      </c>
      <c r="C143" t="s">
        <v>796</v>
      </c>
      <c r="D143" t="s">
        <v>208</v>
      </c>
      <c r="E143" t="s">
        <v>1140</v>
      </c>
    </row>
    <row r="144" spans="1:6">
      <c r="A144" t="s">
        <v>1138</v>
      </c>
      <c r="B144" t="s">
        <v>797</v>
      </c>
      <c r="C144" t="s">
        <v>796</v>
      </c>
      <c r="D144" t="s">
        <v>209</v>
      </c>
      <c r="E144">
        <v>4</v>
      </c>
      <c r="F144">
        <v>1</v>
      </c>
    </row>
    <row r="145" spans="1:6">
      <c r="A145" t="s">
        <v>1138</v>
      </c>
      <c r="B145" t="s">
        <v>797</v>
      </c>
      <c r="C145" t="s">
        <v>796</v>
      </c>
      <c r="D145" t="s">
        <v>210</v>
      </c>
      <c r="E145">
        <v>4</v>
      </c>
      <c r="F145">
        <v>1</v>
      </c>
    </row>
    <row r="146" spans="1:6">
      <c r="A146" t="s">
        <v>1138</v>
      </c>
      <c r="B146" t="s">
        <v>797</v>
      </c>
      <c r="C146" t="s">
        <v>796</v>
      </c>
      <c r="D146" t="s">
        <v>209</v>
      </c>
      <c r="E146">
        <v>1</v>
      </c>
      <c r="F146">
        <v>1</v>
      </c>
    </row>
    <row r="147" spans="1:6">
      <c r="A147" t="s">
        <v>1138</v>
      </c>
      <c r="B147" t="s">
        <v>797</v>
      </c>
      <c r="C147" t="s">
        <v>796</v>
      </c>
      <c r="D147" t="s">
        <v>210</v>
      </c>
      <c r="E147">
        <v>1</v>
      </c>
      <c r="F147">
        <v>1</v>
      </c>
    </row>
    <row r="148" spans="1:6">
      <c r="A148" t="s">
        <v>1138</v>
      </c>
      <c r="B148" t="s">
        <v>797</v>
      </c>
      <c r="C148" t="s">
        <v>796</v>
      </c>
      <c r="D148" t="s">
        <v>211</v>
      </c>
      <c r="E148">
        <v>5</v>
      </c>
      <c r="F148">
        <v>1</v>
      </c>
    </row>
    <row r="149" spans="1:6">
      <c r="A149" t="s">
        <v>1138</v>
      </c>
      <c r="B149" t="s">
        <v>797</v>
      </c>
      <c r="C149" t="s">
        <v>796</v>
      </c>
      <c r="D149" t="s">
        <v>212</v>
      </c>
      <c r="E149">
        <v>10</v>
      </c>
      <c r="F149">
        <v>1</v>
      </c>
    </row>
    <row r="150" spans="1:6">
      <c r="A150" t="s">
        <v>1138</v>
      </c>
      <c r="B150" t="s">
        <v>797</v>
      </c>
      <c r="C150" t="s">
        <v>796</v>
      </c>
      <c r="D150" t="s">
        <v>213</v>
      </c>
      <c r="E150">
        <v>1</v>
      </c>
      <c r="F150">
        <v>1</v>
      </c>
    </row>
    <row r="151" spans="1:6">
      <c r="A151" t="s">
        <v>1138</v>
      </c>
      <c r="B151" t="s">
        <v>797</v>
      </c>
      <c r="C151" t="s">
        <v>796</v>
      </c>
      <c r="D151" t="s">
        <v>214</v>
      </c>
      <c r="E151">
        <v>1</v>
      </c>
      <c r="F151">
        <v>1</v>
      </c>
    </row>
    <row r="152" spans="1:6">
      <c r="A152" t="s">
        <v>1138</v>
      </c>
      <c r="B152" t="s">
        <v>797</v>
      </c>
      <c r="C152" t="s">
        <v>796</v>
      </c>
      <c r="D152" t="s">
        <v>215</v>
      </c>
      <c r="E152">
        <v>1</v>
      </c>
      <c r="F152">
        <v>1</v>
      </c>
    </row>
    <row r="153" spans="1:6">
      <c r="A153" t="s">
        <v>1138</v>
      </c>
      <c r="B153" t="s">
        <v>797</v>
      </c>
      <c r="C153" t="s">
        <v>796</v>
      </c>
      <c r="D153" t="s">
        <v>216</v>
      </c>
      <c r="E153">
        <v>1</v>
      </c>
      <c r="F153">
        <v>1</v>
      </c>
    </row>
    <row r="154" spans="1:6">
      <c r="A154" t="s">
        <v>1138</v>
      </c>
      <c r="B154" t="s">
        <v>797</v>
      </c>
      <c r="C154" t="s">
        <v>796</v>
      </c>
      <c r="D154" t="s">
        <v>217</v>
      </c>
      <c r="E154">
        <v>1</v>
      </c>
      <c r="F154">
        <v>1</v>
      </c>
    </row>
    <row r="155" spans="1:6">
      <c r="A155" t="s">
        <v>1138</v>
      </c>
      <c r="B155" t="s">
        <v>797</v>
      </c>
      <c r="C155" t="s">
        <v>796</v>
      </c>
      <c r="D155" t="s">
        <v>218</v>
      </c>
      <c r="E155">
        <v>2</v>
      </c>
      <c r="F155">
        <v>1</v>
      </c>
    </row>
    <row r="156" spans="1:6">
      <c r="A156" t="s">
        <v>1138</v>
      </c>
      <c r="B156" t="s">
        <v>797</v>
      </c>
      <c r="C156" t="s">
        <v>796</v>
      </c>
      <c r="D156" t="s">
        <v>219</v>
      </c>
      <c r="E156">
        <v>1</v>
      </c>
      <c r="F156">
        <v>1</v>
      </c>
    </row>
    <row r="157" spans="1:6">
      <c r="A157" t="s">
        <v>1138</v>
      </c>
      <c r="B157" t="s">
        <v>797</v>
      </c>
      <c r="C157" t="s">
        <v>796</v>
      </c>
      <c r="D157" t="s">
        <v>220</v>
      </c>
      <c r="E157">
        <v>1</v>
      </c>
      <c r="F157">
        <v>1</v>
      </c>
    </row>
    <row r="158" spans="1:6">
      <c r="A158" t="s">
        <v>1153</v>
      </c>
      <c r="B158" s="10" t="s">
        <v>857</v>
      </c>
      <c r="C158" t="s">
        <v>856</v>
      </c>
      <c r="D158" t="s">
        <v>306</v>
      </c>
      <c r="E158">
        <v>25</v>
      </c>
      <c r="F158">
        <v>2</v>
      </c>
    </row>
    <row r="159" spans="1:6">
      <c r="A159" t="s">
        <v>1153</v>
      </c>
      <c r="B159" s="10" t="s">
        <v>857</v>
      </c>
      <c r="C159" t="s">
        <v>856</v>
      </c>
      <c r="D159" t="s">
        <v>307</v>
      </c>
      <c r="E159">
        <v>65</v>
      </c>
      <c r="F159">
        <v>1</v>
      </c>
    </row>
    <row r="160" spans="1:6">
      <c r="A160" t="s">
        <v>1153</v>
      </c>
      <c r="B160" s="10" t="s">
        <v>857</v>
      </c>
      <c r="C160" t="s">
        <v>856</v>
      </c>
      <c r="D160" t="s">
        <v>309</v>
      </c>
      <c r="E160">
        <v>12</v>
      </c>
      <c r="F160">
        <v>2</v>
      </c>
    </row>
    <row r="161" spans="1:6">
      <c r="A161" t="s">
        <v>1153</v>
      </c>
      <c r="B161" s="10" t="s">
        <v>857</v>
      </c>
      <c r="C161" t="s">
        <v>856</v>
      </c>
      <c r="D161" t="s">
        <v>310</v>
      </c>
    </row>
    <row r="162" spans="1:6">
      <c r="A162" t="s">
        <v>1153</v>
      </c>
      <c r="B162" s="10" t="s">
        <v>857</v>
      </c>
      <c r="C162" t="s">
        <v>856</v>
      </c>
      <c r="D162" t="s">
        <v>311</v>
      </c>
      <c r="E162">
        <v>65</v>
      </c>
      <c r="F162">
        <v>1</v>
      </c>
    </row>
    <row r="163" spans="1:6">
      <c r="A163" t="s">
        <v>1153</v>
      </c>
      <c r="B163" s="10" t="s">
        <v>857</v>
      </c>
      <c r="C163" t="s">
        <v>856</v>
      </c>
      <c r="D163" t="s">
        <v>314</v>
      </c>
      <c r="E163">
        <v>65</v>
      </c>
      <c r="F163">
        <v>1</v>
      </c>
    </row>
    <row r="164" spans="1:6">
      <c r="A164" t="s">
        <v>1153</v>
      </c>
      <c r="B164" s="10" t="s">
        <v>857</v>
      </c>
      <c r="C164" t="s">
        <v>856</v>
      </c>
      <c r="D164" t="s">
        <v>316</v>
      </c>
      <c r="E164">
        <v>3</v>
      </c>
      <c r="F164">
        <v>2</v>
      </c>
    </row>
    <row r="165" spans="1:6">
      <c r="A165" t="s">
        <v>1143</v>
      </c>
      <c r="B165" t="s">
        <v>885</v>
      </c>
      <c r="C165" t="s">
        <v>846</v>
      </c>
      <c r="D165" t="s">
        <v>266</v>
      </c>
      <c r="E165">
        <v>40</v>
      </c>
      <c r="F165">
        <v>1</v>
      </c>
    </row>
    <row r="166" spans="1:6">
      <c r="A166" t="s">
        <v>1153</v>
      </c>
      <c r="B166" t="s">
        <v>885</v>
      </c>
      <c r="C166" t="s">
        <v>846</v>
      </c>
      <c r="D166" t="s">
        <v>266</v>
      </c>
      <c r="E166">
        <v>65</v>
      </c>
      <c r="F166">
        <v>1</v>
      </c>
    </row>
    <row r="167" spans="1:6">
      <c r="A167" t="s">
        <v>1147</v>
      </c>
      <c r="B167" t="s">
        <v>906</v>
      </c>
      <c r="C167" t="s">
        <v>905</v>
      </c>
      <c r="D167" t="s">
        <v>273</v>
      </c>
      <c r="E167">
        <v>1</v>
      </c>
      <c r="F167">
        <v>1</v>
      </c>
    </row>
    <row r="168" spans="1:6">
      <c r="A168" t="s">
        <v>1143</v>
      </c>
      <c r="B168" s="10" t="s">
        <v>806</v>
      </c>
      <c r="C168" t="s">
        <v>805</v>
      </c>
      <c r="D168" t="s">
        <v>261</v>
      </c>
      <c r="E168">
        <v>1</v>
      </c>
      <c r="F168">
        <v>1</v>
      </c>
    </row>
    <row r="169" spans="1:6">
      <c r="A169" t="s">
        <v>1138</v>
      </c>
      <c r="B169" t="s">
        <v>906</v>
      </c>
      <c r="C169" t="s">
        <v>905</v>
      </c>
      <c r="D169" t="s">
        <v>199</v>
      </c>
      <c r="E169">
        <v>15</v>
      </c>
      <c r="F169">
        <v>1</v>
      </c>
    </row>
    <row r="170" spans="1:6">
      <c r="A170" t="s">
        <v>1138</v>
      </c>
      <c r="B170" t="s">
        <v>906</v>
      </c>
      <c r="C170" t="s">
        <v>905</v>
      </c>
      <c r="D170" t="s">
        <v>200</v>
      </c>
      <c r="E170">
        <v>15</v>
      </c>
      <c r="F170">
        <v>1</v>
      </c>
    </row>
    <row r="171" spans="1:6">
      <c r="A171" t="s">
        <v>1138</v>
      </c>
      <c r="C171" t="e">
        <v>#N/A</v>
      </c>
      <c r="D171" t="s">
        <v>201</v>
      </c>
      <c r="E171">
        <v>25</v>
      </c>
      <c r="F171">
        <v>1</v>
      </c>
    </row>
    <row r="172" spans="1:6">
      <c r="A172" t="s">
        <v>1138</v>
      </c>
      <c r="C172" t="e">
        <v>#N/A</v>
      </c>
      <c r="D172" t="s">
        <v>202</v>
      </c>
      <c r="E172">
        <v>1</v>
      </c>
      <c r="F172">
        <v>1</v>
      </c>
    </row>
    <row r="173" spans="1:6">
      <c r="A173" t="s">
        <v>1153</v>
      </c>
      <c r="C173" t="e">
        <v>#N/A</v>
      </c>
      <c r="D173" t="s">
        <v>319</v>
      </c>
    </row>
    <row r="174" spans="1:6">
      <c r="A174" t="s">
        <v>1153</v>
      </c>
      <c r="C174" t="e">
        <v>#N/A</v>
      </c>
      <c r="D174" t="s">
        <v>325</v>
      </c>
      <c r="E174">
        <v>1</v>
      </c>
      <c r="F174">
        <v>1</v>
      </c>
    </row>
    <row r="175" spans="1:6">
      <c r="A175" t="s">
        <v>1153</v>
      </c>
      <c r="C175" t="e">
        <v>#N/A</v>
      </c>
      <c r="D175" t="s">
        <v>327</v>
      </c>
      <c r="E175">
        <v>65</v>
      </c>
      <c r="F175">
        <v>1</v>
      </c>
    </row>
    <row r="176" spans="1:6">
      <c r="A176" t="s">
        <v>1153</v>
      </c>
      <c r="C176" t="e">
        <v>#N/A</v>
      </c>
      <c r="D176" t="s">
        <v>328</v>
      </c>
    </row>
  </sheetData>
  <conditionalFormatting sqref="B2">
    <cfRule type="duplicateValues" dxfId="19" priority="18"/>
  </conditionalFormatting>
  <conditionalFormatting sqref="B3">
    <cfRule type="duplicateValues" dxfId="18" priority="17"/>
  </conditionalFormatting>
  <conditionalFormatting sqref="B4">
    <cfRule type="duplicateValues" dxfId="17" priority="16"/>
  </conditionalFormatting>
  <conditionalFormatting sqref="B6:B16 B20">
    <cfRule type="duplicateValues" dxfId="16" priority="19"/>
  </conditionalFormatting>
  <conditionalFormatting sqref="B19">
    <cfRule type="duplicateValues" dxfId="15" priority="15"/>
  </conditionalFormatting>
  <conditionalFormatting sqref="B21">
    <cfRule type="duplicateValues" dxfId="14" priority="14"/>
  </conditionalFormatting>
  <conditionalFormatting sqref="B22">
    <cfRule type="duplicateValues" dxfId="13" priority="13"/>
  </conditionalFormatting>
  <conditionalFormatting sqref="B23">
    <cfRule type="duplicateValues" dxfId="12" priority="12"/>
  </conditionalFormatting>
  <conditionalFormatting sqref="B24">
    <cfRule type="duplicateValues" dxfId="11" priority="11"/>
  </conditionalFormatting>
  <conditionalFormatting sqref="B25">
    <cfRule type="duplicateValues" dxfId="10" priority="9"/>
  </conditionalFormatting>
  <conditionalFormatting sqref="B26">
    <cfRule type="duplicateValues" dxfId="9" priority="10"/>
  </conditionalFormatting>
  <conditionalFormatting sqref="B27">
    <cfRule type="duplicateValues" dxfId="8" priority="8"/>
  </conditionalFormatting>
  <conditionalFormatting sqref="B73:B74">
    <cfRule type="duplicateValues" dxfId="7" priority="7"/>
  </conditionalFormatting>
  <conditionalFormatting sqref="B95">
    <cfRule type="duplicateValues" dxfId="6" priority="6"/>
  </conditionalFormatting>
  <conditionalFormatting sqref="B113">
    <cfRule type="duplicateValues" dxfId="5" priority="5"/>
  </conditionalFormatting>
  <conditionalFormatting sqref="B117">
    <cfRule type="duplicateValues" dxfId="4" priority="4"/>
  </conditionalFormatting>
  <conditionalFormatting sqref="B118:B127">
    <cfRule type="duplicateValues" dxfId="3" priority="3"/>
  </conditionalFormatting>
  <conditionalFormatting sqref="B158:B164">
    <cfRule type="duplicateValues" dxfId="2" priority="1"/>
  </conditionalFormatting>
  <conditionalFormatting sqref="B168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AF24-FE8C-4647-97F5-5439CD1F75B9}">
  <sheetPr>
    <tabColor rgb="FF960000"/>
  </sheetPr>
  <dimension ref="A1:I176"/>
  <sheetViews>
    <sheetView topLeftCell="A43" workbookViewId="0">
      <selection activeCell="C27" sqref="C27"/>
    </sheetView>
  </sheetViews>
  <sheetFormatPr defaultRowHeight="15"/>
  <cols>
    <col min="1" max="1" width="15" bestFit="1" customWidth="1"/>
    <col min="2" max="2" width="15" customWidth="1"/>
    <col min="3" max="3" width="108" bestFit="1" customWidth="1"/>
    <col min="4" max="4" width="9.28515625" bestFit="1" customWidth="1"/>
    <col min="5" max="5" width="7.5703125" bestFit="1" customWidth="1"/>
    <col min="6" max="6" width="16.85546875" bestFit="1" customWidth="1"/>
    <col min="7" max="7" width="32.42578125" bestFit="1" customWidth="1"/>
    <col min="8" max="8" width="8.85546875" style="19" bestFit="1" customWidth="1"/>
    <col min="9" max="9" width="11" customWidth="1"/>
    <col min="10" max="10" width="30.85546875" bestFit="1" customWidth="1"/>
  </cols>
  <sheetData>
    <row r="1" spans="1:9" ht="30">
      <c r="A1" t="s">
        <v>684</v>
      </c>
      <c r="B1" t="s">
        <v>1156</v>
      </c>
      <c r="C1" t="s">
        <v>198</v>
      </c>
      <c r="D1" t="s">
        <v>1132</v>
      </c>
      <c r="E1" s="7" t="s">
        <v>1133</v>
      </c>
      <c r="F1" t="s">
        <v>1134</v>
      </c>
      <c r="G1" s="19" t="s">
        <v>1135</v>
      </c>
      <c r="H1" t="s">
        <v>1136</v>
      </c>
      <c r="I1" t="s">
        <v>1137</v>
      </c>
    </row>
    <row r="2" spans="1:9">
      <c r="A2" t="s">
        <v>1138</v>
      </c>
      <c r="B2" t="str">
        <f>MID(Bud_Sal_Trxtbl[[#This Row],[PNR_ID]],7,5)</f>
        <v>C0180</v>
      </c>
      <c r="C2" t="s">
        <v>199</v>
      </c>
      <c r="D2">
        <v>15</v>
      </c>
      <c r="E2">
        <v>1</v>
      </c>
      <c r="F2">
        <v>32</v>
      </c>
      <c r="G2" s="19">
        <v>547.20000000000005</v>
      </c>
      <c r="H2" s="19" t="s">
        <v>1139</v>
      </c>
      <c r="I2" s="19">
        <v>50.75</v>
      </c>
    </row>
    <row r="3" spans="1:9">
      <c r="A3" t="s">
        <v>1138</v>
      </c>
      <c r="B3" t="str">
        <f>MID(Bud_Sal_Trxtbl[[#This Row],[PNR_ID]],7,5)</f>
        <v>C0180</v>
      </c>
      <c r="C3" t="s">
        <v>200</v>
      </c>
      <c r="D3">
        <v>15</v>
      </c>
      <c r="E3">
        <v>1</v>
      </c>
      <c r="F3">
        <v>6.3</v>
      </c>
      <c r="G3" s="19">
        <v>107.73</v>
      </c>
      <c r="H3" s="19" t="s">
        <v>1139</v>
      </c>
      <c r="I3" s="19">
        <v>50.75</v>
      </c>
    </row>
    <row r="4" spans="1:9">
      <c r="A4" t="s">
        <v>1138</v>
      </c>
      <c r="B4" t="str">
        <f>MID(Bud_Sal_Trxtbl[[#This Row],[PNR_ID]],7,5)</f>
        <v>C0180</v>
      </c>
      <c r="C4" t="s">
        <v>201</v>
      </c>
      <c r="D4">
        <v>25</v>
      </c>
      <c r="E4">
        <v>1</v>
      </c>
      <c r="F4">
        <v>165</v>
      </c>
      <c r="G4" s="19">
        <v>4702.5</v>
      </c>
      <c r="H4" s="19" t="s">
        <v>1139</v>
      </c>
      <c r="I4" s="19">
        <v>50.75</v>
      </c>
    </row>
    <row r="5" spans="1:9">
      <c r="A5" t="s">
        <v>1138</v>
      </c>
      <c r="B5" t="str">
        <f>MID(Bud_Sal_Trxtbl[[#This Row],[PNR_ID]],7,5)</f>
        <v>C0180</v>
      </c>
      <c r="C5" t="s">
        <v>202</v>
      </c>
      <c r="D5">
        <v>1</v>
      </c>
      <c r="E5">
        <v>1</v>
      </c>
      <c r="G5" s="19">
        <v>3249</v>
      </c>
      <c r="H5" s="19" t="s">
        <v>1139</v>
      </c>
      <c r="I5" s="19">
        <v>50.75</v>
      </c>
    </row>
    <row r="6" spans="1:9">
      <c r="A6" t="s">
        <v>1138</v>
      </c>
      <c r="B6" t="str">
        <f>MID(Bud_Sal_Trxtbl[[#This Row],[PNR_ID]],7,5)</f>
        <v>C0180</v>
      </c>
      <c r="C6" t="s">
        <v>203</v>
      </c>
      <c r="D6">
        <v>1</v>
      </c>
      <c r="E6">
        <v>1</v>
      </c>
      <c r="F6">
        <v>235</v>
      </c>
      <c r="G6" s="19">
        <v>267.89999999999998</v>
      </c>
      <c r="H6" s="19" t="s">
        <v>1139</v>
      </c>
      <c r="I6" s="19">
        <v>50.75</v>
      </c>
    </row>
    <row r="7" spans="1:9">
      <c r="A7" t="s">
        <v>1138</v>
      </c>
      <c r="B7" t="str">
        <f>MID(Bud_Sal_Trxtbl[[#This Row],[PNR_ID]],7,5)</f>
        <v>C0180</v>
      </c>
      <c r="C7" t="s">
        <v>204</v>
      </c>
      <c r="D7">
        <v>2</v>
      </c>
      <c r="E7">
        <v>1</v>
      </c>
      <c r="F7">
        <v>265</v>
      </c>
      <c r="G7" s="19">
        <v>604.20000000000005</v>
      </c>
      <c r="H7" s="19" t="s">
        <v>1139</v>
      </c>
      <c r="I7" s="19">
        <v>50.75</v>
      </c>
    </row>
    <row r="8" spans="1:9">
      <c r="A8" t="s">
        <v>1138</v>
      </c>
      <c r="B8" t="str">
        <f>MID(Bud_Sal_Trxtbl[[#This Row],[PNR_ID]],7,5)</f>
        <v>C0180</v>
      </c>
      <c r="C8" t="s">
        <v>205</v>
      </c>
      <c r="D8">
        <v>30</v>
      </c>
      <c r="E8">
        <v>1</v>
      </c>
      <c r="F8">
        <v>40</v>
      </c>
      <c r="G8" s="19">
        <v>1368</v>
      </c>
      <c r="H8" s="19" t="s">
        <v>1139</v>
      </c>
      <c r="I8" s="19">
        <v>50.75</v>
      </c>
    </row>
    <row r="9" spans="1:9">
      <c r="A9" t="s">
        <v>1138</v>
      </c>
      <c r="B9" t="str">
        <f>MID(Bud_Sal_Trxtbl[[#This Row],[PNR_ID]],7,5)</f>
        <v>C0180</v>
      </c>
      <c r="C9" t="s">
        <v>206</v>
      </c>
      <c r="D9">
        <v>5</v>
      </c>
      <c r="E9">
        <v>1</v>
      </c>
      <c r="F9">
        <v>65</v>
      </c>
      <c r="G9" s="19">
        <v>370.5</v>
      </c>
      <c r="H9" s="19" t="s">
        <v>1139</v>
      </c>
      <c r="I9" s="19">
        <v>50.75</v>
      </c>
    </row>
    <row r="10" spans="1:9">
      <c r="A10" t="s">
        <v>1138</v>
      </c>
      <c r="B10" t="str">
        <f>MID(Bud_Sal_Trxtbl[[#This Row],[PNR_ID]],7,5)</f>
        <v>C0180</v>
      </c>
      <c r="C10" t="s">
        <v>207</v>
      </c>
      <c r="D10">
        <v>5</v>
      </c>
      <c r="E10">
        <v>1</v>
      </c>
      <c r="F10">
        <v>75</v>
      </c>
      <c r="G10" s="19">
        <v>427.5</v>
      </c>
      <c r="H10" s="19" t="s">
        <v>1139</v>
      </c>
      <c r="I10" s="19">
        <v>50.75</v>
      </c>
    </row>
    <row r="11" spans="1:9">
      <c r="A11" t="s">
        <v>1138</v>
      </c>
      <c r="B11" t="str">
        <f>MID(Bud_Sal_Trxtbl[[#This Row],[PNR_ID]],7,5)</f>
        <v>C0180</v>
      </c>
      <c r="C11" t="s">
        <v>208</v>
      </c>
      <c r="D11" t="s">
        <v>1140</v>
      </c>
      <c r="G11" s="19">
        <v>282.72000000000003</v>
      </c>
      <c r="H11" s="19" t="s">
        <v>1139</v>
      </c>
      <c r="I11" s="19">
        <v>50.75</v>
      </c>
    </row>
    <row r="12" spans="1:9">
      <c r="A12" t="s">
        <v>1138</v>
      </c>
      <c r="B12" t="str">
        <f>MID(Bud_Sal_Trxtbl[[#This Row],[PNR_ID]],7,5)</f>
        <v>C0180</v>
      </c>
      <c r="C12" t="s">
        <v>209</v>
      </c>
      <c r="D12">
        <v>4</v>
      </c>
      <c r="E12">
        <v>1</v>
      </c>
      <c r="F12">
        <v>1445</v>
      </c>
      <c r="G12" s="19">
        <v>6589.2</v>
      </c>
      <c r="H12" s="19" t="s">
        <v>1139</v>
      </c>
      <c r="I12" s="19">
        <v>50.75</v>
      </c>
    </row>
    <row r="13" spans="1:9">
      <c r="A13" t="s">
        <v>1138</v>
      </c>
      <c r="B13" t="str">
        <f>MID(Bud_Sal_Trxtbl[[#This Row],[PNR_ID]],7,5)</f>
        <v>C0180</v>
      </c>
      <c r="C13" t="s">
        <v>210</v>
      </c>
      <c r="D13">
        <v>4</v>
      </c>
      <c r="E13">
        <v>1</v>
      </c>
      <c r="F13">
        <v>276</v>
      </c>
      <c r="G13" s="19">
        <v>1258.56</v>
      </c>
      <c r="H13" s="19" t="s">
        <v>1139</v>
      </c>
      <c r="I13" s="19">
        <v>50.75</v>
      </c>
    </row>
    <row r="14" spans="1:9">
      <c r="A14" t="s">
        <v>1138</v>
      </c>
      <c r="B14" t="str">
        <f>MID(Bud_Sal_Trxtbl[[#This Row],[PNR_ID]],7,5)</f>
        <v>C0180</v>
      </c>
      <c r="C14" t="s">
        <v>209</v>
      </c>
      <c r="D14">
        <v>1</v>
      </c>
      <c r="E14">
        <v>1</v>
      </c>
      <c r="F14">
        <v>2410</v>
      </c>
      <c r="G14" s="19">
        <v>2747.4</v>
      </c>
      <c r="H14" s="19" t="s">
        <v>1139</v>
      </c>
      <c r="I14" s="19">
        <v>50.75</v>
      </c>
    </row>
    <row r="15" spans="1:9">
      <c r="A15" t="s">
        <v>1138</v>
      </c>
      <c r="B15" t="str">
        <f>MID(Bud_Sal_Trxtbl[[#This Row],[PNR_ID]],7,5)</f>
        <v>C0180</v>
      </c>
      <c r="C15" t="s">
        <v>210</v>
      </c>
      <c r="D15">
        <v>1</v>
      </c>
      <c r="E15">
        <v>1</v>
      </c>
      <c r="F15">
        <v>276</v>
      </c>
      <c r="G15" s="19">
        <v>314.64</v>
      </c>
      <c r="H15" s="19" t="s">
        <v>1139</v>
      </c>
      <c r="I15" s="19">
        <v>50.75</v>
      </c>
    </row>
    <row r="16" spans="1:9">
      <c r="A16" t="s">
        <v>1138</v>
      </c>
      <c r="B16" t="str">
        <f>MID(Bud_Sal_Trxtbl[[#This Row],[PNR_ID]],7,5)</f>
        <v>C0180</v>
      </c>
      <c r="C16" t="s">
        <v>211</v>
      </c>
      <c r="D16">
        <v>5</v>
      </c>
      <c r="E16">
        <v>1</v>
      </c>
      <c r="F16">
        <v>396</v>
      </c>
      <c r="G16" s="19">
        <v>2257.1999999999998</v>
      </c>
      <c r="H16" s="19" t="s">
        <v>1139</v>
      </c>
      <c r="I16" s="19">
        <v>50.75</v>
      </c>
    </row>
    <row r="17" spans="1:9">
      <c r="A17" t="s">
        <v>1138</v>
      </c>
      <c r="B17" t="str">
        <f>MID(Bud_Sal_Trxtbl[[#This Row],[PNR_ID]],7,5)</f>
        <v>C0180</v>
      </c>
      <c r="C17" t="s">
        <v>212</v>
      </c>
      <c r="D17">
        <v>10</v>
      </c>
      <c r="E17">
        <v>1</v>
      </c>
      <c r="F17">
        <v>87.6</v>
      </c>
      <c r="G17" s="19">
        <v>998.64</v>
      </c>
      <c r="H17" s="19" t="s">
        <v>1139</v>
      </c>
      <c r="I17" s="19">
        <v>50.75</v>
      </c>
    </row>
    <row r="18" spans="1:9">
      <c r="A18" t="s">
        <v>1138</v>
      </c>
      <c r="B18" t="str">
        <f>MID(Bud_Sal_Trxtbl[[#This Row],[PNR_ID]],7,5)</f>
        <v>C0180</v>
      </c>
      <c r="C18" t="s">
        <v>213</v>
      </c>
      <c r="D18">
        <v>1</v>
      </c>
      <c r="E18">
        <v>1</v>
      </c>
      <c r="G18" s="19">
        <v>969</v>
      </c>
      <c r="H18" s="19" t="s">
        <v>1139</v>
      </c>
      <c r="I18" s="19">
        <v>50.75</v>
      </c>
    </row>
    <row r="19" spans="1:9">
      <c r="A19" t="s">
        <v>1138</v>
      </c>
      <c r="B19" t="str">
        <f>MID(Bud_Sal_Trxtbl[[#This Row],[PNR_ID]],7,5)</f>
        <v>C0180</v>
      </c>
      <c r="C19" t="s">
        <v>214</v>
      </c>
      <c r="D19">
        <v>1</v>
      </c>
      <c r="E19">
        <v>1</v>
      </c>
      <c r="F19">
        <v>1500</v>
      </c>
      <c r="G19" s="19">
        <v>1710</v>
      </c>
      <c r="H19" s="19" t="s">
        <v>1139</v>
      </c>
      <c r="I19" s="19">
        <v>50.75</v>
      </c>
    </row>
    <row r="20" spans="1:9">
      <c r="A20" t="s">
        <v>1138</v>
      </c>
      <c r="B20" t="str">
        <f>MID(Bud_Sal_Trxtbl[[#This Row],[PNR_ID]],7,5)</f>
        <v>C0180</v>
      </c>
      <c r="C20" t="s">
        <v>215</v>
      </c>
      <c r="D20">
        <v>1</v>
      </c>
      <c r="E20">
        <v>1</v>
      </c>
      <c r="F20">
        <v>250</v>
      </c>
      <c r="G20" s="19">
        <v>285</v>
      </c>
      <c r="H20" s="19" t="s">
        <v>1139</v>
      </c>
      <c r="I20" s="19">
        <v>50.75</v>
      </c>
    </row>
    <row r="21" spans="1:9">
      <c r="A21" t="s">
        <v>1138</v>
      </c>
      <c r="B21" t="str">
        <f>MID(Bud_Sal_Trxtbl[[#This Row],[PNR_ID]],7,5)</f>
        <v>C0180</v>
      </c>
      <c r="C21" t="s">
        <v>216</v>
      </c>
      <c r="D21">
        <v>1</v>
      </c>
      <c r="E21">
        <v>1</v>
      </c>
      <c r="G21" s="19">
        <v>1687.2</v>
      </c>
      <c r="H21" s="19" t="s">
        <v>1139</v>
      </c>
      <c r="I21" s="19">
        <v>50.75</v>
      </c>
    </row>
    <row r="22" spans="1:9">
      <c r="A22" t="s">
        <v>1138</v>
      </c>
      <c r="B22" t="str">
        <f>MID(Bud_Sal_Trxtbl[[#This Row],[PNR_ID]],7,5)</f>
        <v>C0180</v>
      </c>
      <c r="C22" t="s">
        <v>217</v>
      </c>
      <c r="D22">
        <v>1</v>
      </c>
      <c r="E22">
        <v>1</v>
      </c>
      <c r="G22" s="19">
        <v>963.3</v>
      </c>
      <c r="H22" s="19" t="s">
        <v>1139</v>
      </c>
      <c r="I22" s="19">
        <v>50.75</v>
      </c>
    </row>
    <row r="23" spans="1:9">
      <c r="A23" t="s">
        <v>1138</v>
      </c>
      <c r="B23" t="str">
        <f>MID(Bud_Sal_Trxtbl[[#This Row],[PNR_ID]],7,5)</f>
        <v>C0180</v>
      </c>
      <c r="C23" t="s">
        <v>218</v>
      </c>
      <c r="D23">
        <v>2</v>
      </c>
      <c r="E23">
        <v>1</v>
      </c>
      <c r="F23">
        <v>247</v>
      </c>
      <c r="G23" s="19">
        <v>563.16</v>
      </c>
      <c r="H23" s="19" t="s">
        <v>1139</v>
      </c>
      <c r="I23" s="19">
        <v>50.75</v>
      </c>
    </row>
    <row r="24" spans="1:9">
      <c r="A24" t="s">
        <v>1138</v>
      </c>
      <c r="B24" t="str">
        <f>MID(Bud_Sal_Trxtbl[[#This Row],[PNR_ID]],7,5)</f>
        <v>C0180</v>
      </c>
      <c r="C24" t="s">
        <v>219</v>
      </c>
      <c r="D24">
        <v>1</v>
      </c>
      <c r="E24">
        <v>1</v>
      </c>
      <c r="G24" s="19">
        <v>1140</v>
      </c>
      <c r="H24" s="19" t="s">
        <v>1139</v>
      </c>
      <c r="I24" s="19">
        <v>50.75</v>
      </c>
    </row>
    <row r="25" spans="1:9">
      <c r="A25" t="s">
        <v>1138</v>
      </c>
      <c r="B25" t="str">
        <f>MID(Bud_Sal_Trxtbl[[#This Row],[PNR_ID]],7,5)</f>
        <v>C0180</v>
      </c>
      <c r="C25" t="s">
        <v>220</v>
      </c>
      <c r="D25">
        <v>1</v>
      </c>
      <c r="E25">
        <v>1</v>
      </c>
      <c r="G25" s="19">
        <v>1710</v>
      </c>
      <c r="H25" s="19" t="s">
        <v>1139</v>
      </c>
      <c r="I25" s="19">
        <v>50.75</v>
      </c>
    </row>
    <row r="26" spans="1:9">
      <c r="A26" t="s">
        <v>1138</v>
      </c>
      <c r="B26" t="str">
        <f>MID(Bud_Sal_Trxtbl[[#This Row],[PNR_ID]],7,5)</f>
        <v>C0180</v>
      </c>
      <c r="C26" t="s">
        <v>221</v>
      </c>
      <c r="D26">
        <v>220</v>
      </c>
      <c r="E26">
        <v>1</v>
      </c>
      <c r="F26">
        <v>3.2</v>
      </c>
      <c r="G26" s="19">
        <v>802.56</v>
      </c>
      <c r="H26" s="19" t="s">
        <v>1139</v>
      </c>
      <c r="I26" s="19">
        <v>50.75</v>
      </c>
    </row>
    <row r="27" spans="1:9">
      <c r="A27" t="s">
        <v>1138</v>
      </c>
      <c r="B27" t="str">
        <f>MID(Bud_Sal_Trxtbl[[#This Row],[PNR_ID]],7,5)</f>
        <v>C0180</v>
      </c>
      <c r="C27" t="s">
        <v>222</v>
      </c>
      <c r="D27">
        <v>8</v>
      </c>
      <c r="E27">
        <v>1</v>
      </c>
      <c r="F27">
        <v>68</v>
      </c>
      <c r="G27" s="19">
        <v>620.16</v>
      </c>
      <c r="H27" s="19" t="s">
        <v>1139</v>
      </c>
      <c r="I27" s="19">
        <v>50.75</v>
      </c>
    </row>
    <row r="28" spans="1:9">
      <c r="A28" t="s">
        <v>1138</v>
      </c>
      <c r="B28" t="str">
        <f>MID(Bud_Sal_Trxtbl[[#This Row],[PNR_ID]],7,5)</f>
        <v>C0180</v>
      </c>
      <c r="C28" t="s">
        <v>223</v>
      </c>
      <c r="D28">
        <v>20</v>
      </c>
      <c r="E28">
        <v>1</v>
      </c>
      <c r="F28">
        <v>10.5</v>
      </c>
      <c r="G28" s="19">
        <v>239.4</v>
      </c>
      <c r="H28" s="19" t="s">
        <v>1139</v>
      </c>
      <c r="I28" s="19">
        <v>50.75</v>
      </c>
    </row>
    <row r="29" spans="1:9">
      <c r="A29" t="s">
        <v>1138</v>
      </c>
      <c r="B29" t="str">
        <f>MID(Bud_Sal_Trxtbl[[#This Row],[PNR_ID]],7,5)</f>
        <v>C0180</v>
      </c>
      <c r="C29" t="s">
        <v>224</v>
      </c>
      <c r="D29">
        <v>250</v>
      </c>
      <c r="E29">
        <v>1</v>
      </c>
      <c r="F29">
        <v>1.5</v>
      </c>
      <c r="G29" s="19">
        <v>427.5</v>
      </c>
      <c r="H29" s="19" t="s">
        <v>1139</v>
      </c>
      <c r="I29" s="19">
        <v>50.75</v>
      </c>
    </row>
    <row r="30" spans="1:9">
      <c r="A30" t="s">
        <v>1138</v>
      </c>
      <c r="B30" t="str">
        <f>MID(Bud_Sal_Trxtbl[[#This Row],[PNR_ID]],7,5)</f>
        <v>C0180</v>
      </c>
      <c r="C30" t="s">
        <v>225</v>
      </c>
      <c r="D30">
        <v>1</v>
      </c>
      <c r="E30">
        <v>1</v>
      </c>
      <c r="F30">
        <v>320</v>
      </c>
      <c r="G30" s="19">
        <v>364.8</v>
      </c>
      <c r="H30" s="19" t="s">
        <v>1139</v>
      </c>
      <c r="I30" s="19">
        <v>50.75</v>
      </c>
    </row>
    <row r="31" spans="1:9">
      <c r="A31" t="s">
        <v>1138</v>
      </c>
      <c r="B31" t="str">
        <f>MID(Bud_Sal_Trxtbl[[#This Row],[PNR_ID]],7,5)</f>
        <v>C0180</v>
      </c>
      <c r="C31" t="s">
        <v>226</v>
      </c>
      <c r="D31">
        <v>2</v>
      </c>
      <c r="E31">
        <v>1</v>
      </c>
      <c r="F31">
        <v>120</v>
      </c>
      <c r="G31" s="19">
        <v>273.60000000000002</v>
      </c>
      <c r="H31" s="19" t="s">
        <v>1139</v>
      </c>
      <c r="I31" s="19">
        <v>50.75</v>
      </c>
    </row>
    <row r="32" spans="1:9">
      <c r="A32" t="s">
        <v>1138</v>
      </c>
      <c r="B32" t="str">
        <f>MID(Bud_Sal_Trxtbl[[#This Row],[PNR_ID]],7,5)</f>
        <v>C0180</v>
      </c>
      <c r="C32" t="s">
        <v>227</v>
      </c>
      <c r="D32">
        <v>24</v>
      </c>
      <c r="E32">
        <v>1.5</v>
      </c>
      <c r="F32">
        <v>31.7</v>
      </c>
      <c r="G32" s="19">
        <v>1300.9680000000001</v>
      </c>
      <c r="H32" s="19" t="s">
        <v>1139</v>
      </c>
      <c r="I32" s="19">
        <v>50.75</v>
      </c>
    </row>
    <row r="33" spans="1:9">
      <c r="A33" t="s">
        <v>1138</v>
      </c>
      <c r="B33" t="str">
        <f>MID(Bud_Sal_Trxtbl[[#This Row],[PNR_ID]],7,5)</f>
        <v>C0180</v>
      </c>
      <c r="C33" t="s">
        <v>228</v>
      </c>
      <c r="D33">
        <v>20</v>
      </c>
      <c r="E33">
        <v>1.5</v>
      </c>
      <c r="F33">
        <v>31.7</v>
      </c>
      <c r="G33" s="19">
        <v>1084.1400000000001</v>
      </c>
      <c r="H33" s="19" t="s">
        <v>1139</v>
      </c>
      <c r="I33" s="19">
        <v>50.75</v>
      </c>
    </row>
    <row r="34" spans="1:9">
      <c r="A34" t="s">
        <v>1138</v>
      </c>
      <c r="B34" t="str">
        <f>MID(Bud_Sal_Trxtbl[[#This Row],[PNR_ID]],7,5)</f>
        <v>C0180</v>
      </c>
      <c r="C34" t="s">
        <v>229</v>
      </c>
      <c r="D34">
        <v>1</v>
      </c>
      <c r="E34">
        <v>1.5</v>
      </c>
      <c r="F34">
        <v>380.5</v>
      </c>
      <c r="G34" s="19">
        <v>650.65499999999997</v>
      </c>
      <c r="H34" s="19" t="s">
        <v>1139</v>
      </c>
      <c r="I34" s="19">
        <v>50.75</v>
      </c>
    </row>
    <row r="35" spans="1:9">
      <c r="A35" t="s">
        <v>1138</v>
      </c>
      <c r="B35" t="str">
        <f>MID(Bud_Sal_Trxtbl[[#This Row],[PNR_ID]],7,5)</f>
        <v>C0180</v>
      </c>
      <c r="C35" t="s">
        <v>230</v>
      </c>
      <c r="D35">
        <v>1</v>
      </c>
      <c r="G35" s="19">
        <v>4702.5</v>
      </c>
      <c r="H35" s="19" t="s">
        <v>1139</v>
      </c>
      <c r="I35" s="19">
        <v>50.75</v>
      </c>
    </row>
    <row r="36" spans="1:9">
      <c r="A36" t="s">
        <v>1138</v>
      </c>
      <c r="B36" t="str">
        <f>MID(Bud_Sal_Trxtbl[[#This Row],[PNR_ID]],7,5)</f>
        <v>C0180</v>
      </c>
      <c r="C36" t="s">
        <v>231</v>
      </c>
      <c r="D36">
        <v>3</v>
      </c>
      <c r="E36">
        <v>1</v>
      </c>
      <c r="F36">
        <v>42.5</v>
      </c>
      <c r="G36" s="19">
        <v>145.35</v>
      </c>
      <c r="H36" s="19" t="s">
        <v>1139</v>
      </c>
      <c r="I36" s="19">
        <v>50.75</v>
      </c>
    </row>
    <row r="37" spans="1:9">
      <c r="A37" t="s">
        <v>1138</v>
      </c>
      <c r="B37" t="str">
        <f>MID(Bud_Sal_Trxtbl[[#This Row],[PNR_ID]],7,5)</f>
        <v>C0180</v>
      </c>
      <c r="C37" t="s">
        <v>232</v>
      </c>
      <c r="D37">
        <v>1</v>
      </c>
      <c r="E37">
        <v>1</v>
      </c>
      <c r="G37" s="19">
        <v>1083</v>
      </c>
      <c r="H37" s="19" t="s">
        <v>1139</v>
      </c>
      <c r="I37" s="19">
        <v>50.75</v>
      </c>
    </row>
    <row r="38" spans="1:9">
      <c r="A38" t="s">
        <v>1138</v>
      </c>
      <c r="B38" t="str">
        <f>MID(Bud_Sal_Trxtbl[[#This Row],[PNR_ID]],7,5)</f>
        <v>C0180</v>
      </c>
      <c r="C38" t="s">
        <v>233</v>
      </c>
      <c r="D38">
        <v>1</v>
      </c>
      <c r="E38">
        <v>1</v>
      </c>
      <c r="G38" s="19">
        <v>1368</v>
      </c>
      <c r="H38" s="19" t="s">
        <v>1139</v>
      </c>
      <c r="I38" s="19">
        <v>50.75</v>
      </c>
    </row>
    <row r="39" spans="1:9">
      <c r="A39" t="s">
        <v>1138</v>
      </c>
      <c r="B39" t="str">
        <f>MID(Bud_Sal_Trxtbl[[#This Row],[PNR_ID]],7,5)</f>
        <v>C0180</v>
      </c>
      <c r="C39" t="s">
        <v>234</v>
      </c>
      <c r="D39">
        <v>4</v>
      </c>
      <c r="E39">
        <v>3</v>
      </c>
      <c r="F39">
        <v>31.7</v>
      </c>
      <c r="G39" s="19">
        <v>433.65599999999995</v>
      </c>
      <c r="H39" s="19" t="s">
        <v>1139</v>
      </c>
      <c r="I39" s="19">
        <v>50.75</v>
      </c>
    </row>
    <row r="40" spans="1:9">
      <c r="A40" t="s">
        <v>1138</v>
      </c>
      <c r="B40" t="str">
        <f>MID(Bud_Sal_Trxtbl[[#This Row],[PNR_ID]],7,5)</f>
        <v>C0180</v>
      </c>
      <c r="C40" t="s">
        <v>235</v>
      </c>
      <c r="D40">
        <v>4</v>
      </c>
      <c r="E40">
        <v>1.5</v>
      </c>
      <c r="F40">
        <v>55</v>
      </c>
      <c r="G40" s="19">
        <v>376.2</v>
      </c>
      <c r="H40" s="19" t="s">
        <v>1139</v>
      </c>
      <c r="I40" s="19">
        <v>50.75</v>
      </c>
    </row>
    <row r="41" spans="1:9">
      <c r="A41" t="s">
        <v>1138</v>
      </c>
      <c r="B41" t="str">
        <f>MID(Bud_Sal_Trxtbl[[#This Row],[PNR_ID]],7,5)</f>
        <v>C0180</v>
      </c>
      <c r="C41" t="s">
        <v>235</v>
      </c>
      <c r="D41">
        <v>1</v>
      </c>
      <c r="E41">
        <v>1.5</v>
      </c>
      <c r="F41">
        <v>55</v>
      </c>
      <c r="G41" s="19">
        <v>94.05</v>
      </c>
      <c r="H41" s="19" t="s">
        <v>1139</v>
      </c>
      <c r="I41" s="19">
        <v>50.75</v>
      </c>
    </row>
    <row r="42" spans="1:9">
      <c r="A42" t="s">
        <v>1138</v>
      </c>
      <c r="B42" t="str">
        <f>MID(Bud_Sal_Trxtbl[[#This Row],[PNR_ID]],7,5)</f>
        <v>C0180</v>
      </c>
      <c r="C42" t="s">
        <v>236</v>
      </c>
      <c r="D42">
        <v>1</v>
      </c>
      <c r="E42">
        <v>1</v>
      </c>
      <c r="G42" s="19">
        <v>484.5</v>
      </c>
      <c r="H42" s="19" t="s">
        <v>1139</v>
      </c>
      <c r="I42" s="19">
        <v>50.75</v>
      </c>
    </row>
    <row r="43" spans="1:9">
      <c r="A43" t="s">
        <v>1138</v>
      </c>
      <c r="B43" t="str">
        <f>MID(Bud_Sal_Trxtbl[[#This Row],[PNR_ID]],7,5)</f>
        <v>C0180</v>
      </c>
      <c r="C43" t="s">
        <v>237</v>
      </c>
      <c r="D43">
        <v>1</v>
      </c>
      <c r="E43">
        <v>1</v>
      </c>
      <c r="G43" s="19">
        <v>729.6</v>
      </c>
      <c r="H43" s="19" t="s">
        <v>1139</v>
      </c>
      <c r="I43" s="19">
        <v>50.75</v>
      </c>
    </row>
    <row r="44" spans="1:9">
      <c r="A44" t="s">
        <v>1138</v>
      </c>
      <c r="B44" t="str">
        <f>MID(Bud_Sal_Trxtbl[[#This Row],[PNR_ID]],7,5)</f>
        <v>C0180</v>
      </c>
      <c r="C44" t="s">
        <v>238</v>
      </c>
      <c r="D44">
        <v>4</v>
      </c>
      <c r="E44">
        <v>1.5</v>
      </c>
      <c r="F44">
        <v>55</v>
      </c>
      <c r="G44" s="19">
        <v>376.2</v>
      </c>
      <c r="H44" s="19" t="s">
        <v>1139</v>
      </c>
      <c r="I44" s="19">
        <v>50.75</v>
      </c>
    </row>
    <row r="45" spans="1:9">
      <c r="A45" t="s">
        <v>1138</v>
      </c>
      <c r="B45" t="str">
        <f>MID(Bud_Sal_Trxtbl[[#This Row],[PNR_ID]],7,5)</f>
        <v>C0180</v>
      </c>
      <c r="C45" t="s">
        <v>239</v>
      </c>
      <c r="D45">
        <v>4</v>
      </c>
      <c r="E45">
        <v>1</v>
      </c>
      <c r="F45">
        <v>42.3</v>
      </c>
      <c r="G45" s="19">
        <v>192.88799999999998</v>
      </c>
      <c r="H45" s="19" t="s">
        <v>1139</v>
      </c>
      <c r="I45" s="19">
        <v>50.75</v>
      </c>
    </row>
    <row r="46" spans="1:9">
      <c r="A46" t="s">
        <v>1138</v>
      </c>
      <c r="B46" t="str">
        <f>MID(Bud_Sal_Trxtbl[[#This Row],[PNR_ID]],7,5)</f>
        <v>C0180</v>
      </c>
      <c r="C46" t="s">
        <v>240</v>
      </c>
      <c r="D46">
        <v>4</v>
      </c>
      <c r="E46">
        <v>1</v>
      </c>
      <c r="F46">
        <v>32</v>
      </c>
      <c r="G46" s="19">
        <v>145.92000000000002</v>
      </c>
      <c r="H46" s="19" t="s">
        <v>1139</v>
      </c>
      <c r="I46" s="19">
        <v>50.75</v>
      </c>
    </row>
    <row r="47" spans="1:9">
      <c r="A47" t="s">
        <v>1138</v>
      </c>
      <c r="B47" t="str">
        <f>MID(Bud_Sal_Trxtbl[[#This Row],[PNR_ID]],7,5)</f>
        <v>C0180</v>
      </c>
      <c r="C47" t="s">
        <v>241</v>
      </c>
      <c r="D47">
        <v>4</v>
      </c>
      <c r="E47">
        <v>1</v>
      </c>
      <c r="F47">
        <v>30</v>
      </c>
      <c r="G47" s="19">
        <v>136.80000000000001</v>
      </c>
      <c r="H47" s="19" t="s">
        <v>1139</v>
      </c>
      <c r="I47" s="19">
        <v>50.75</v>
      </c>
    </row>
    <row r="48" spans="1:9">
      <c r="A48" t="s">
        <v>1138</v>
      </c>
      <c r="B48" t="str">
        <f>MID(Bud_Sal_Trxtbl[[#This Row],[PNR_ID]],7,5)</f>
        <v>C0180</v>
      </c>
      <c r="C48" t="s">
        <v>242</v>
      </c>
      <c r="D48">
        <v>4</v>
      </c>
      <c r="E48">
        <v>1</v>
      </c>
      <c r="F48">
        <v>10.5</v>
      </c>
      <c r="G48" s="19">
        <v>47.88</v>
      </c>
      <c r="H48" s="19" t="s">
        <v>1139</v>
      </c>
      <c r="I48" s="19">
        <v>50.75</v>
      </c>
    </row>
    <row r="49" spans="1:9">
      <c r="A49" t="s">
        <v>1138</v>
      </c>
      <c r="B49" t="str">
        <f>MID(Bud_Sal_Trxtbl[[#This Row],[PNR_ID]],7,5)</f>
        <v>C0180</v>
      </c>
      <c r="C49" t="s">
        <v>243</v>
      </c>
      <c r="D49">
        <v>1</v>
      </c>
      <c r="E49">
        <v>1.5</v>
      </c>
      <c r="F49">
        <v>1100</v>
      </c>
      <c r="G49" s="19">
        <v>1881</v>
      </c>
      <c r="H49" s="19" t="s">
        <v>1139</v>
      </c>
      <c r="I49" s="19">
        <v>50.75</v>
      </c>
    </row>
    <row r="50" spans="1:9">
      <c r="A50" t="s">
        <v>1138</v>
      </c>
      <c r="B50" t="str">
        <f>MID(Bud_Sal_Trxtbl[[#This Row],[PNR_ID]],7,5)</f>
        <v>C0180</v>
      </c>
      <c r="C50" t="s">
        <v>244</v>
      </c>
      <c r="D50">
        <v>4</v>
      </c>
      <c r="E50">
        <v>3</v>
      </c>
      <c r="F50">
        <v>31.7</v>
      </c>
      <c r="G50" s="19">
        <v>433.65599999999995</v>
      </c>
      <c r="H50" s="19" t="s">
        <v>1139</v>
      </c>
      <c r="I50" s="19">
        <v>50.75</v>
      </c>
    </row>
    <row r="51" spans="1:9">
      <c r="A51" t="s">
        <v>1138</v>
      </c>
      <c r="B51" t="str">
        <f>MID(Bud_Sal_Trxtbl[[#This Row],[PNR_ID]],7,5)</f>
        <v>C0180</v>
      </c>
      <c r="C51" t="s">
        <v>245</v>
      </c>
      <c r="D51">
        <v>1</v>
      </c>
      <c r="E51">
        <v>1</v>
      </c>
      <c r="G51" s="19">
        <v>433.2</v>
      </c>
      <c r="H51" s="19" t="s">
        <v>1139</v>
      </c>
      <c r="I51" s="19">
        <v>50.75</v>
      </c>
    </row>
    <row r="52" spans="1:9">
      <c r="A52" t="s">
        <v>1138</v>
      </c>
      <c r="B52" t="str">
        <f>MID(Bud_Sal_Trxtbl[[#This Row],[PNR_ID]],7,5)</f>
        <v>C0180</v>
      </c>
      <c r="C52" t="s">
        <v>246</v>
      </c>
      <c r="D52">
        <v>1</v>
      </c>
      <c r="E52">
        <v>1</v>
      </c>
      <c r="G52" s="19">
        <v>598.5</v>
      </c>
      <c r="H52" s="19" t="s">
        <v>1139</v>
      </c>
      <c r="I52" s="19">
        <v>50.75</v>
      </c>
    </row>
    <row r="53" spans="1:9">
      <c r="A53" t="s">
        <v>1138</v>
      </c>
      <c r="B53" t="str">
        <f>MID(Bud_Sal_Trxtbl[[#This Row],[PNR_ID]],7,5)</f>
        <v>C0180</v>
      </c>
      <c r="C53" t="s">
        <v>247</v>
      </c>
      <c r="D53">
        <v>1</v>
      </c>
      <c r="E53">
        <v>3</v>
      </c>
      <c r="F53">
        <v>31.7</v>
      </c>
      <c r="G53" s="19">
        <v>108.41399999999999</v>
      </c>
      <c r="H53" s="19" t="s">
        <v>1139</v>
      </c>
      <c r="I53" s="19">
        <v>50.75</v>
      </c>
    </row>
    <row r="54" spans="1:9">
      <c r="A54" t="s">
        <v>1138</v>
      </c>
      <c r="B54" t="str">
        <f>MID(Bud_Sal_Trxtbl[[#This Row],[PNR_ID]],7,5)</f>
        <v>C0180</v>
      </c>
      <c r="C54" t="s">
        <v>248</v>
      </c>
      <c r="D54">
        <v>1</v>
      </c>
      <c r="E54">
        <v>1</v>
      </c>
      <c r="F54">
        <v>485</v>
      </c>
      <c r="G54" s="19">
        <v>552.9</v>
      </c>
      <c r="H54" s="19" t="s">
        <v>1139</v>
      </c>
      <c r="I54" s="19">
        <v>50.75</v>
      </c>
    </row>
    <row r="55" spans="1:9">
      <c r="A55" t="s">
        <v>1138</v>
      </c>
      <c r="B55" t="str">
        <f>MID(Bud_Sal_Trxtbl[[#This Row],[PNR_ID]],7,5)</f>
        <v>C0180</v>
      </c>
      <c r="C55" t="s">
        <v>249</v>
      </c>
      <c r="D55">
        <v>1</v>
      </c>
      <c r="E55">
        <v>1</v>
      </c>
      <c r="G55" s="19">
        <v>484.5</v>
      </c>
      <c r="H55" s="19" t="s">
        <v>1139</v>
      </c>
      <c r="I55" s="19">
        <v>50.75</v>
      </c>
    </row>
    <row r="56" spans="1:9">
      <c r="A56" t="s">
        <v>1138</v>
      </c>
      <c r="B56" t="str">
        <f>MID(Bud_Sal_Trxtbl[[#This Row],[PNR_ID]],7,5)</f>
        <v>C0180</v>
      </c>
      <c r="C56" t="s">
        <v>250</v>
      </c>
      <c r="D56">
        <v>1</v>
      </c>
      <c r="E56">
        <v>1</v>
      </c>
      <c r="G56" s="19">
        <v>604.20000000000005</v>
      </c>
      <c r="H56" s="19" t="s">
        <v>1139</v>
      </c>
      <c r="I56" s="19">
        <v>50.75</v>
      </c>
    </row>
    <row r="57" spans="1:9">
      <c r="A57" t="s">
        <v>1138</v>
      </c>
      <c r="B57" t="str">
        <f>MID(Bud_Sal_Trxtbl[[#This Row],[PNR_ID]],7,5)</f>
        <v>C0180</v>
      </c>
      <c r="C57" t="s">
        <v>251</v>
      </c>
      <c r="D57">
        <v>1</v>
      </c>
      <c r="E57">
        <v>1</v>
      </c>
      <c r="G57" s="19">
        <v>741</v>
      </c>
      <c r="H57" s="19" t="s">
        <v>1139</v>
      </c>
      <c r="I57" s="19">
        <v>50.75</v>
      </c>
    </row>
    <row r="58" spans="1:9">
      <c r="A58" t="s">
        <v>1138</v>
      </c>
      <c r="B58" t="str">
        <f>MID(Bud_Sal_Trxtbl[[#This Row],[PNR_ID]],7,5)</f>
        <v>C0180</v>
      </c>
      <c r="C58" t="s">
        <v>252</v>
      </c>
      <c r="D58">
        <v>1</v>
      </c>
      <c r="E58">
        <v>1</v>
      </c>
      <c r="G58" s="19">
        <v>250.8</v>
      </c>
      <c r="H58" s="19" t="s">
        <v>1139</v>
      </c>
      <c r="I58" s="19">
        <v>50.75</v>
      </c>
    </row>
    <row r="59" spans="1:9">
      <c r="A59" t="s">
        <v>1138</v>
      </c>
      <c r="B59" t="str">
        <f>MID(Bud_Sal_Trxtbl[[#This Row],[PNR_ID]],7,5)</f>
        <v>C0180</v>
      </c>
      <c r="C59" t="s">
        <v>253</v>
      </c>
      <c r="D59">
        <v>1</v>
      </c>
      <c r="E59">
        <v>1</v>
      </c>
      <c r="F59">
        <v>1</v>
      </c>
      <c r="G59" s="19">
        <v>5757.9746999999998</v>
      </c>
      <c r="H59" s="19" t="s">
        <v>1139</v>
      </c>
      <c r="I59" s="19">
        <v>50.75</v>
      </c>
    </row>
    <row r="60" spans="1:9">
      <c r="A60" t="s">
        <v>1143</v>
      </c>
      <c r="B60" t="str">
        <f>MID(Bud_Sal_Trxtbl[[#This Row],[PNR_ID]],7,5)</f>
        <v>C0006</v>
      </c>
      <c r="C60" t="s">
        <v>254</v>
      </c>
      <c r="D60">
        <v>20</v>
      </c>
      <c r="E60">
        <v>2</v>
      </c>
      <c r="F60">
        <v>68.25</v>
      </c>
      <c r="G60">
        <v>2730</v>
      </c>
      <c r="H60" s="19" t="s">
        <v>1145</v>
      </c>
      <c r="I60" s="19">
        <v>1</v>
      </c>
    </row>
    <row r="61" spans="1:9">
      <c r="A61" t="s">
        <v>1143</v>
      </c>
      <c r="B61" t="str">
        <f>MID(Bud_Sal_Trxtbl[[#This Row],[PNR_ID]],7,5)</f>
        <v>C0006</v>
      </c>
      <c r="C61" t="s">
        <v>254</v>
      </c>
      <c r="D61">
        <v>20</v>
      </c>
      <c r="E61">
        <v>2</v>
      </c>
      <c r="F61">
        <v>68.25</v>
      </c>
      <c r="G61">
        <v>2730</v>
      </c>
      <c r="H61" s="19" t="s">
        <v>1145</v>
      </c>
      <c r="I61" s="19">
        <v>1</v>
      </c>
    </row>
    <row r="62" spans="1:9">
      <c r="A62" t="s">
        <v>1143</v>
      </c>
      <c r="B62" t="str">
        <f>MID(Bud_Sal_Trxtbl[[#This Row],[PNR_ID]],7,5)</f>
        <v>C0006</v>
      </c>
      <c r="C62" t="s">
        <v>255</v>
      </c>
      <c r="D62">
        <v>1</v>
      </c>
      <c r="E62">
        <v>2</v>
      </c>
      <c r="F62">
        <v>8662.5</v>
      </c>
      <c r="G62" s="19">
        <v>17325</v>
      </c>
      <c r="H62" s="19" t="s">
        <v>1145</v>
      </c>
      <c r="I62" s="19">
        <v>1</v>
      </c>
    </row>
    <row r="63" spans="1:9">
      <c r="A63" t="s">
        <v>1143</v>
      </c>
      <c r="B63" t="str">
        <f>MID(Bud_Sal_Trxtbl[[#This Row],[PNR_ID]],7,5)</f>
        <v>C0006</v>
      </c>
      <c r="C63" t="s">
        <v>256</v>
      </c>
      <c r="D63">
        <v>1</v>
      </c>
      <c r="E63">
        <v>1</v>
      </c>
      <c r="F63">
        <v>29150</v>
      </c>
      <c r="G63" s="19">
        <v>29150</v>
      </c>
      <c r="H63" s="19" t="s">
        <v>1145</v>
      </c>
      <c r="I63" s="19">
        <v>1</v>
      </c>
    </row>
    <row r="64" spans="1:9">
      <c r="A64" t="s">
        <v>1143</v>
      </c>
      <c r="B64" t="str">
        <f>MID(Bud_Sal_Trxtbl[[#This Row],[PNR_ID]],7,5)</f>
        <v>C0006</v>
      </c>
      <c r="C64" t="s">
        <v>257</v>
      </c>
      <c r="D64">
        <v>4</v>
      </c>
      <c r="E64">
        <v>2</v>
      </c>
      <c r="F64">
        <v>15000</v>
      </c>
      <c r="G64" s="19">
        <v>120000</v>
      </c>
      <c r="H64" s="19" t="s">
        <v>1145</v>
      </c>
      <c r="I64" s="19">
        <v>1</v>
      </c>
    </row>
    <row r="65" spans="1:9">
      <c r="A65" t="s">
        <v>1143</v>
      </c>
      <c r="B65" t="str">
        <f>MID(Bud_Sal_Trxtbl[[#This Row],[PNR_ID]],7,5)</f>
        <v>C0006</v>
      </c>
      <c r="C65" t="s">
        <v>258</v>
      </c>
      <c r="D65">
        <v>1</v>
      </c>
      <c r="E65">
        <v>1</v>
      </c>
      <c r="F65">
        <v>16800</v>
      </c>
      <c r="G65" s="19">
        <v>16800</v>
      </c>
      <c r="H65" s="19" t="s">
        <v>1145</v>
      </c>
      <c r="I65" s="19">
        <v>1</v>
      </c>
    </row>
    <row r="66" spans="1:9">
      <c r="A66" t="s">
        <v>1143</v>
      </c>
      <c r="B66" t="str">
        <f>MID(Bud_Sal_Trxtbl[[#This Row],[PNR_ID]],7,5)</f>
        <v>C0006</v>
      </c>
      <c r="C66" t="s">
        <v>259</v>
      </c>
      <c r="D66">
        <v>1</v>
      </c>
      <c r="E66">
        <v>1</v>
      </c>
      <c r="F66">
        <v>13284.11</v>
      </c>
      <c r="G66">
        <v>13284.11</v>
      </c>
      <c r="H66" s="19" t="s">
        <v>1145</v>
      </c>
      <c r="I66" s="19">
        <v>1</v>
      </c>
    </row>
    <row r="67" spans="1:9">
      <c r="A67" t="s">
        <v>1143</v>
      </c>
      <c r="B67" t="str">
        <f>MID(Bud_Sal_Trxtbl[[#This Row],[PNR_ID]],7,5)</f>
        <v>C0006</v>
      </c>
      <c r="C67" t="s">
        <v>260</v>
      </c>
      <c r="E67">
        <v>1</v>
      </c>
      <c r="F67">
        <v>94886.5</v>
      </c>
      <c r="G67">
        <v>94886.5</v>
      </c>
      <c r="H67" s="19" t="s">
        <v>1145</v>
      </c>
      <c r="I67" s="19">
        <v>1</v>
      </c>
    </row>
    <row r="68" spans="1:9">
      <c r="A68" t="s">
        <v>1143</v>
      </c>
      <c r="B68" t="str">
        <f>MID(Bud_Sal_Trxtbl[[#This Row],[PNR_ID]],7,5)</f>
        <v>C0006</v>
      </c>
      <c r="C68" t="s">
        <v>261</v>
      </c>
      <c r="D68">
        <v>1</v>
      </c>
      <c r="E68">
        <v>1</v>
      </c>
      <c r="F68">
        <v>19950</v>
      </c>
      <c r="G68">
        <v>19950</v>
      </c>
      <c r="H68" s="19" t="s">
        <v>1145</v>
      </c>
      <c r="I68" s="19">
        <v>1</v>
      </c>
    </row>
    <row r="69" spans="1:9">
      <c r="A69" t="s">
        <v>1143</v>
      </c>
      <c r="B69" t="str">
        <f>MID(Bud_Sal_Trxtbl[[#This Row],[PNR_ID]],7,5)</f>
        <v>C0006</v>
      </c>
      <c r="C69" t="s">
        <v>262</v>
      </c>
      <c r="D69">
        <v>40</v>
      </c>
      <c r="E69">
        <v>1</v>
      </c>
      <c r="F69">
        <v>2887.5</v>
      </c>
      <c r="G69">
        <v>115500</v>
      </c>
      <c r="H69" s="19" t="s">
        <v>1145</v>
      </c>
      <c r="I69" s="19">
        <v>1</v>
      </c>
    </row>
    <row r="70" spans="1:9">
      <c r="A70" t="s">
        <v>1143</v>
      </c>
      <c r="B70" t="str">
        <f>MID(Bud_Sal_Trxtbl[[#This Row],[PNR_ID]],7,5)</f>
        <v>C0006</v>
      </c>
      <c r="C70" t="s">
        <v>263</v>
      </c>
      <c r="D70">
        <v>28</v>
      </c>
      <c r="E70">
        <v>1</v>
      </c>
      <c r="F70">
        <v>3200</v>
      </c>
      <c r="G70">
        <v>89600</v>
      </c>
      <c r="H70" s="19" t="s">
        <v>1145</v>
      </c>
      <c r="I70" s="19">
        <v>1</v>
      </c>
    </row>
    <row r="71" spans="1:9">
      <c r="A71" t="s">
        <v>1143</v>
      </c>
      <c r="B71" t="str">
        <f>MID(Bud_Sal_Trxtbl[[#This Row],[PNR_ID]],7,5)</f>
        <v>C0006</v>
      </c>
      <c r="C71" t="s">
        <v>264</v>
      </c>
      <c r="D71">
        <v>28</v>
      </c>
      <c r="E71">
        <v>1</v>
      </c>
      <c r="F71">
        <v>236.25</v>
      </c>
      <c r="G71">
        <v>6615</v>
      </c>
      <c r="H71" s="19" t="s">
        <v>1145</v>
      </c>
      <c r="I71" s="19">
        <v>1</v>
      </c>
    </row>
    <row r="72" spans="1:9">
      <c r="A72" t="s">
        <v>1143</v>
      </c>
      <c r="B72" t="str">
        <f>MID(Bud_Sal_Trxtbl[[#This Row],[PNR_ID]],7,5)</f>
        <v>C0006</v>
      </c>
      <c r="C72" t="s">
        <v>264</v>
      </c>
      <c r="D72">
        <v>28</v>
      </c>
      <c r="E72">
        <v>1</v>
      </c>
      <c r="F72">
        <v>315</v>
      </c>
      <c r="G72">
        <v>8820</v>
      </c>
      <c r="H72" s="19" t="s">
        <v>1145</v>
      </c>
      <c r="I72" s="19">
        <v>1</v>
      </c>
    </row>
    <row r="73" spans="1:9">
      <c r="A73" t="s">
        <v>1143</v>
      </c>
      <c r="B73" t="str">
        <f>MID(Bud_Sal_Trxtbl[[#This Row],[PNR_ID]],7,5)</f>
        <v>C0006</v>
      </c>
      <c r="C73" t="s">
        <v>265</v>
      </c>
      <c r="D73">
        <v>28</v>
      </c>
      <c r="E73">
        <v>1</v>
      </c>
      <c r="F73">
        <v>2100</v>
      </c>
      <c r="G73">
        <v>58800</v>
      </c>
      <c r="H73" s="19" t="s">
        <v>1145</v>
      </c>
      <c r="I73" s="19">
        <v>1</v>
      </c>
    </row>
    <row r="74" spans="1:9">
      <c r="A74" t="s">
        <v>1143</v>
      </c>
      <c r="B74" t="str">
        <f>MID(Bud_Sal_Trxtbl[[#This Row],[PNR_ID]],7,5)</f>
        <v>C0006</v>
      </c>
      <c r="C74" t="s">
        <v>266</v>
      </c>
      <c r="D74">
        <v>40</v>
      </c>
      <c r="E74">
        <v>1</v>
      </c>
      <c r="F74">
        <v>5145</v>
      </c>
      <c r="G74">
        <v>205800</v>
      </c>
      <c r="H74" s="19" t="s">
        <v>1145</v>
      </c>
      <c r="I74" s="19">
        <v>1</v>
      </c>
    </row>
    <row r="75" spans="1:9">
      <c r="A75" t="s">
        <v>1143</v>
      </c>
      <c r="B75" t="str">
        <f>MID(Bud_Sal_Trxtbl[[#This Row],[PNR_ID]],7,5)</f>
        <v>C0006</v>
      </c>
      <c r="C75" t="s">
        <v>267</v>
      </c>
      <c r="D75">
        <v>2</v>
      </c>
      <c r="E75">
        <v>2</v>
      </c>
      <c r="F75">
        <v>1050</v>
      </c>
      <c r="G75">
        <v>4200</v>
      </c>
      <c r="H75" s="19" t="s">
        <v>1145</v>
      </c>
      <c r="I75" s="19">
        <v>1</v>
      </c>
    </row>
    <row r="76" spans="1:9">
      <c r="A76" t="s">
        <v>1143</v>
      </c>
      <c r="B76" t="str">
        <f>MID(Bud_Sal_Trxtbl[[#This Row],[PNR_ID]],7,5)</f>
        <v>C0006</v>
      </c>
      <c r="C76" t="s">
        <v>268</v>
      </c>
      <c r="D76">
        <v>5</v>
      </c>
      <c r="E76">
        <v>2</v>
      </c>
      <c r="F76">
        <v>787.5</v>
      </c>
      <c r="G76">
        <v>7875</v>
      </c>
      <c r="H76" s="19" t="s">
        <v>1145</v>
      </c>
      <c r="I76" s="19">
        <v>1</v>
      </c>
    </row>
    <row r="77" spans="1:9">
      <c r="A77" t="s">
        <v>1143</v>
      </c>
      <c r="B77" t="str">
        <f>MID(Bud_Sal_Trxtbl[[#This Row],[PNR_ID]],7,5)</f>
        <v>C0006</v>
      </c>
      <c r="C77" t="s">
        <v>268</v>
      </c>
      <c r="D77">
        <v>8</v>
      </c>
      <c r="E77">
        <v>2</v>
      </c>
      <c r="F77">
        <v>787.5</v>
      </c>
      <c r="G77">
        <v>12600</v>
      </c>
      <c r="H77" s="19" t="s">
        <v>1145</v>
      </c>
      <c r="I77" s="19">
        <v>1</v>
      </c>
    </row>
    <row r="78" spans="1:9">
      <c r="A78" t="s">
        <v>1143</v>
      </c>
      <c r="B78" t="str">
        <f>MID(Bud_Sal_Trxtbl[[#This Row],[PNR_ID]],7,5)</f>
        <v>C0006</v>
      </c>
      <c r="C78" t="s">
        <v>269</v>
      </c>
      <c r="D78">
        <v>2</v>
      </c>
      <c r="E78">
        <v>2</v>
      </c>
      <c r="F78">
        <v>7980</v>
      </c>
      <c r="G78">
        <v>31920</v>
      </c>
      <c r="H78" s="19" t="s">
        <v>1145</v>
      </c>
      <c r="I78" s="19">
        <v>1</v>
      </c>
    </row>
    <row r="79" spans="1:9">
      <c r="A79" t="s">
        <v>1143</v>
      </c>
      <c r="B79" t="str">
        <f>MID(Bud_Sal_Trxtbl[[#This Row],[PNR_ID]],7,5)</f>
        <v>C0006</v>
      </c>
      <c r="C79" t="s">
        <v>270</v>
      </c>
      <c r="D79">
        <v>10</v>
      </c>
      <c r="E79">
        <v>2</v>
      </c>
      <c r="F79">
        <v>4462.5</v>
      </c>
      <c r="G79">
        <v>89250</v>
      </c>
      <c r="H79" s="19" t="s">
        <v>1145</v>
      </c>
      <c r="I79" s="19">
        <v>1</v>
      </c>
    </row>
    <row r="80" spans="1:9">
      <c r="A80" t="s">
        <v>1143</v>
      </c>
      <c r="B80" t="str">
        <f>MID(Bud_Sal_Trxtbl[[#This Row],[PNR_ID]],7,5)</f>
        <v>C0006</v>
      </c>
      <c r="C80" t="s">
        <v>270</v>
      </c>
      <c r="D80">
        <v>16</v>
      </c>
      <c r="E80">
        <v>2</v>
      </c>
      <c r="F80">
        <v>3412.5</v>
      </c>
      <c r="G80">
        <v>109200</v>
      </c>
      <c r="H80" s="19" t="s">
        <v>1145</v>
      </c>
      <c r="I80" s="19">
        <v>1</v>
      </c>
    </row>
    <row r="81" spans="1:9">
      <c r="A81" t="s">
        <v>1146</v>
      </c>
      <c r="B81" t="str">
        <f>MID(Bud_Sal_Trxtbl[[#This Row],[PNR_ID]],7,5)</f>
        <v>C0003</v>
      </c>
      <c r="C81" t="s">
        <v>271</v>
      </c>
      <c r="D81">
        <v>20</v>
      </c>
      <c r="E81">
        <v>1</v>
      </c>
      <c r="F81">
        <v>3323.3190000000004</v>
      </c>
      <c r="G81">
        <v>66466.38</v>
      </c>
      <c r="H81" s="19" t="s">
        <v>1145</v>
      </c>
      <c r="I81" s="19">
        <v>1</v>
      </c>
    </row>
    <row r="82" spans="1:9">
      <c r="A82" t="s">
        <v>1146</v>
      </c>
      <c r="B82" t="str">
        <f>MID(Bud_Sal_Trxtbl[[#This Row],[PNR_ID]],7,5)</f>
        <v>C0003</v>
      </c>
      <c r="C82" t="s">
        <v>272</v>
      </c>
      <c r="D82">
        <v>20</v>
      </c>
      <c r="E82">
        <v>1</v>
      </c>
      <c r="F82">
        <v>650</v>
      </c>
      <c r="G82">
        <v>13000</v>
      </c>
      <c r="H82" s="19" t="s">
        <v>1145</v>
      </c>
      <c r="I82" s="19">
        <v>1</v>
      </c>
    </row>
    <row r="83" spans="1:9">
      <c r="A83" t="s">
        <v>1146</v>
      </c>
      <c r="B83" t="str">
        <f>MID(Bud_Sal_Trxtbl[[#This Row],[PNR_ID]],7,5)</f>
        <v>C0003</v>
      </c>
      <c r="C83" t="s">
        <v>260</v>
      </c>
      <c r="D83">
        <v>1</v>
      </c>
      <c r="E83">
        <v>1</v>
      </c>
      <c r="F83">
        <v>9059.1673200000005</v>
      </c>
      <c r="G83">
        <v>9059.1673200000005</v>
      </c>
      <c r="H83" s="19" t="s">
        <v>1145</v>
      </c>
      <c r="I83" s="19">
        <v>1</v>
      </c>
    </row>
    <row r="84" spans="1:9">
      <c r="A84" t="s">
        <v>1147</v>
      </c>
      <c r="B84" t="str">
        <f>MID(Bud_Sal_Trxtbl[[#This Row],[PNR_ID]],7,5)</f>
        <v>C0003</v>
      </c>
      <c r="C84" t="s">
        <v>273</v>
      </c>
      <c r="D84">
        <v>1</v>
      </c>
      <c r="E84">
        <v>1</v>
      </c>
      <c r="F84">
        <v>1500</v>
      </c>
      <c r="G84">
        <v>1500</v>
      </c>
      <c r="H84" s="19" t="s">
        <v>1145</v>
      </c>
      <c r="I84" s="19">
        <v>1</v>
      </c>
    </row>
    <row r="85" spans="1:9">
      <c r="A85" t="s">
        <v>1147</v>
      </c>
      <c r="B85" t="str">
        <f>MID(Bud_Sal_Trxtbl[[#This Row],[PNR_ID]],7,5)</f>
        <v>C0003</v>
      </c>
      <c r="C85" t="s">
        <v>253</v>
      </c>
      <c r="D85">
        <v>1</v>
      </c>
      <c r="E85">
        <v>1</v>
      </c>
      <c r="F85">
        <v>32821.74</v>
      </c>
      <c r="G85">
        <v>32821.74</v>
      </c>
      <c r="H85" s="19" t="s">
        <v>1145</v>
      </c>
      <c r="I85" s="19">
        <v>1</v>
      </c>
    </row>
    <row r="86" spans="1:9">
      <c r="A86" t="s">
        <v>1147</v>
      </c>
      <c r="B86" t="str">
        <f>MID(Bud_Sal_Trxtbl[[#This Row],[PNR_ID]],7,5)</f>
        <v>C0003</v>
      </c>
      <c r="C86" t="s">
        <v>274</v>
      </c>
      <c r="D86">
        <v>45</v>
      </c>
      <c r="E86">
        <v>1</v>
      </c>
      <c r="G86">
        <v>32760</v>
      </c>
      <c r="H86" s="19" t="s">
        <v>1145</v>
      </c>
      <c r="I86" s="19">
        <v>1</v>
      </c>
    </row>
    <row r="87" spans="1:9">
      <c r="A87" t="s">
        <v>1147</v>
      </c>
      <c r="B87" t="str">
        <f>MID(Bud_Sal_Trxtbl[[#This Row],[PNR_ID]],7,5)</f>
        <v>C0003</v>
      </c>
      <c r="C87" t="s">
        <v>275</v>
      </c>
      <c r="D87">
        <v>50</v>
      </c>
      <c r="E87">
        <v>1</v>
      </c>
      <c r="F87">
        <v>425</v>
      </c>
      <c r="G87">
        <v>21250</v>
      </c>
      <c r="H87" s="19" t="s">
        <v>1145</v>
      </c>
      <c r="I87" s="19">
        <v>1</v>
      </c>
    </row>
    <row r="88" spans="1:9">
      <c r="A88" t="s">
        <v>1147</v>
      </c>
      <c r="B88" t="str">
        <f>MID(Bud_Sal_Trxtbl[[#This Row],[PNR_ID]],7,5)</f>
        <v>C0003</v>
      </c>
      <c r="C88" t="s">
        <v>276</v>
      </c>
      <c r="D88">
        <v>10</v>
      </c>
      <c r="E88">
        <v>1</v>
      </c>
      <c r="F88">
        <v>470</v>
      </c>
      <c r="G88">
        <v>4700</v>
      </c>
      <c r="H88" s="19" t="s">
        <v>1145</v>
      </c>
      <c r="I88" s="19">
        <v>1</v>
      </c>
    </row>
    <row r="89" spans="1:9">
      <c r="A89" t="s">
        <v>1147</v>
      </c>
      <c r="B89" t="str">
        <f>MID(Bud_Sal_Trxtbl[[#This Row],[PNR_ID]],7,5)</f>
        <v>C0003</v>
      </c>
      <c r="C89" t="s">
        <v>277</v>
      </c>
      <c r="D89">
        <v>45</v>
      </c>
      <c r="E89">
        <v>1</v>
      </c>
      <c r="G89">
        <v>140400</v>
      </c>
      <c r="H89" s="19" t="s">
        <v>1145</v>
      </c>
      <c r="I89" s="19">
        <v>1</v>
      </c>
    </row>
    <row r="90" spans="1:9">
      <c r="A90" t="s">
        <v>1147</v>
      </c>
      <c r="B90" t="str">
        <f>MID(Bud_Sal_Trxtbl[[#This Row],[PNR_ID]],7,5)</f>
        <v>C0003</v>
      </c>
      <c r="C90" t="s">
        <v>278</v>
      </c>
      <c r="D90">
        <v>6</v>
      </c>
      <c r="E90">
        <v>1</v>
      </c>
      <c r="F90" t="s">
        <v>1148</v>
      </c>
      <c r="G90">
        <v>0</v>
      </c>
      <c r="H90" s="19" t="s">
        <v>1145</v>
      </c>
      <c r="I90" s="19">
        <v>1</v>
      </c>
    </row>
    <row r="91" spans="1:9">
      <c r="A91" t="s">
        <v>1147</v>
      </c>
      <c r="B91" t="str">
        <f>MID(Bud_Sal_Trxtbl[[#This Row],[PNR_ID]],7,5)</f>
        <v>C0003</v>
      </c>
      <c r="C91" t="s">
        <v>279</v>
      </c>
      <c r="D91">
        <v>1</v>
      </c>
      <c r="E91">
        <v>1</v>
      </c>
      <c r="F91">
        <v>2500</v>
      </c>
      <c r="G91">
        <v>2500</v>
      </c>
      <c r="H91" s="19" t="s">
        <v>1145</v>
      </c>
      <c r="I91" s="19">
        <v>1</v>
      </c>
    </row>
    <row r="92" spans="1:9">
      <c r="A92" t="s">
        <v>1147</v>
      </c>
      <c r="B92" t="str">
        <f>MID(Bud_Sal_Trxtbl[[#This Row],[PNR_ID]],7,5)</f>
        <v>C0003</v>
      </c>
      <c r="C92" t="s">
        <v>280</v>
      </c>
      <c r="D92">
        <v>1</v>
      </c>
      <c r="E92">
        <v>1</v>
      </c>
      <c r="F92">
        <v>11800</v>
      </c>
      <c r="G92">
        <v>11800</v>
      </c>
      <c r="H92" s="19" t="s">
        <v>1145</v>
      </c>
      <c r="I92" s="19">
        <v>1</v>
      </c>
    </row>
    <row r="93" spans="1:9">
      <c r="A93" t="s">
        <v>1147</v>
      </c>
      <c r="B93" t="str">
        <f>MID(Bud_Sal_Trxtbl[[#This Row],[PNR_ID]],7,5)</f>
        <v>C0003</v>
      </c>
      <c r="C93" t="s">
        <v>281</v>
      </c>
      <c r="D93">
        <v>6</v>
      </c>
      <c r="E93">
        <v>1</v>
      </c>
      <c r="F93">
        <v>1700</v>
      </c>
      <c r="G93">
        <v>10200</v>
      </c>
      <c r="H93" s="19" t="s">
        <v>1145</v>
      </c>
      <c r="I93" s="19">
        <v>1</v>
      </c>
    </row>
    <row r="94" spans="1:9">
      <c r="A94" t="s">
        <v>1147</v>
      </c>
      <c r="B94" t="str">
        <f>MID(Bud_Sal_Trxtbl[[#This Row],[PNR_ID]],7,5)</f>
        <v>C0003</v>
      </c>
      <c r="C94" t="s">
        <v>282</v>
      </c>
      <c r="D94">
        <v>6</v>
      </c>
      <c r="E94">
        <v>1</v>
      </c>
      <c r="F94">
        <v>1700</v>
      </c>
      <c r="G94">
        <v>10200</v>
      </c>
      <c r="H94" s="19" t="s">
        <v>1145</v>
      </c>
      <c r="I94" s="19">
        <v>1</v>
      </c>
    </row>
    <row r="95" spans="1:9">
      <c r="A95" t="s">
        <v>1147</v>
      </c>
      <c r="B95" t="str">
        <f>MID(Bud_Sal_Trxtbl[[#This Row],[PNR_ID]],7,5)</f>
        <v>C0003</v>
      </c>
      <c r="C95" t="s">
        <v>283</v>
      </c>
      <c r="D95">
        <v>1</v>
      </c>
      <c r="E95">
        <v>1</v>
      </c>
      <c r="F95" t="s">
        <v>1150</v>
      </c>
      <c r="G95">
        <v>0</v>
      </c>
      <c r="H95" s="19" t="s">
        <v>1145</v>
      </c>
      <c r="I95" s="19">
        <v>1</v>
      </c>
    </row>
    <row r="96" spans="1:9">
      <c r="A96" t="s">
        <v>1147</v>
      </c>
      <c r="B96" t="str">
        <f>MID(Bud_Sal_Trxtbl[[#This Row],[PNR_ID]],7,5)</f>
        <v>C0003</v>
      </c>
      <c r="C96" t="s">
        <v>284</v>
      </c>
      <c r="D96">
        <v>1</v>
      </c>
      <c r="E96">
        <v>1</v>
      </c>
      <c r="F96">
        <v>6500</v>
      </c>
      <c r="G96">
        <v>6500</v>
      </c>
      <c r="H96" s="19" t="s">
        <v>1145</v>
      </c>
      <c r="I96" s="19">
        <v>1</v>
      </c>
    </row>
    <row r="97" spans="1:9">
      <c r="A97" t="s">
        <v>1147</v>
      </c>
      <c r="B97" t="str">
        <f>MID(Bud_Sal_Trxtbl[[#This Row],[PNR_ID]],7,5)</f>
        <v>C0003</v>
      </c>
      <c r="C97" t="s">
        <v>285</v>
      </c>
      <c r="D97">
        <v>1</v>
      </c>
      <c r="E97">
        <v>1</v>
      </c>
      <c r="F97">
        <v>9900</v>
      </c>
      <c r="G97">
        <v>9900</v>
      </c>
      <c r="H97" s="19" t="s">
        <v>1145</v>
      </c>
      <c r="I97" s="19">
        <v>1</v>
      </c>
    </row>
    <row r="98" spans="1:9">
      <c r="A98" t="s">
        <v>1147</v>
      </c>
      <c r="B98" t="str">
        <f>MID(Bud_Sal_Trxtbl[[#This Row],[PNR_ID]],7,5)</f>
        <v>C0003</v>
      </c>
      <c r="C98" t="s">
        <v>286</v>
      </c>
      <c r="D98">
        <v>2</v>
      </c>
      <c r="E98">
        <v>3</v>
      </c>
      <c r="F98">
        <v>1700</v>
      </c>
      <c r="G98">
        <v>10200</v>
      </c>
      <c r="H98" s="19" t="s">
        <v>1145</v>
      </c>
      <c r="I98" s="19">
        <v>1</v>
      </c>
    </row>
    <row r="99" spans="1:9">
      <c r="A99" t="s">
        <v>1147</v>
      </c>
      <c r="B99" t="str">
        <f>MID(Bud_Sal_Trxtbl[[#This Row],[PNR_ID]],7,5)</f>
        <v>C0003</v>
      </c>
      <c r="C99" t="s">
        <v>250</v>
      </c>
      <c r="D99">
        <v>1</v>
      </c>
      <c r="E99">
        <v>1</v>
      </c>
      <c r="F99">
        <v>10000</v>
      </c>
      <c r="G99">
        <v>10000</v>
      </c>
      <c r="H99" s="19" t="s">
        <v>1145</v>
      </c>
      <c r="I99" s="19">
        <v>1</v>
      </c>
    </row>
    <row r="100" spans="1:9">
      <c r="A100" t="s">
        <v>1147</v>
      </c>
      <c r="B100" t="str">
        <f>MID(Bud_Sal_Trxtbl[[#This Row],[PNR_ID]],7,5)</f>
        <v>C0003</v>
      </c>
      <c r="C100" t="s">
        <v>251</v>
      </c>
      <c r="D100">
        <v>1</v>
      </c>
      <c r="E100">
        <v>1</v>
      </c>
      <c r="F100">
        <v>8000</v>
      </c>
      <c r="G100">
        <v>8000</v>
      </c>
      <c r="H100" s="19" t="s">
        <v>1145</v>
      </c>
      <c r="I100" s="19">
        <v>1</v>
      </c>
    </row>
    <row r="101" spans="1:9">
      <c r="A101" t="s">
        <v>1147</v>
      </c>
      <c r="B101" t="str">
        <f>MID(Bud_Sal_Trxtbl[[#This Row],[PNR_ID]],7,5)</f>
        <v>C0003</v>
      </c>
      <c r="C101" t="s">
        <v>249</v>
      </c>
      <c r="D101">
        <v>1</v>
      </c>
      <c r="E101">
        <v>1</v>
      </c>
      <c r="F101">
        <v>8000</v>
      </c>
      <c r="G101">
        <v>8000</v>
      </c>
      <c r="H101" s="19" t="s">
        <v>1145</v>
      </c>
      <c r="I101" s="19">
        <v>1</v>
      </c>
    </row>
    <row r="102" spans="1:9">
      <c r="A102" t="s">
        <v>1151</v>
      </c>
      <c r="B102" t="str">
        <f>MID(Bud_Sal_Trxtbl[[#This Row],[PNR_ID]],7,5)</f>
        <v>C0003</v>
      </c>
      <c r="C102" t="s">
        <v>287</v>
      </c>
      <c r="D102">
        <v>60</v>
      </c>
      <c r="E102">
        <v>1</v>
      </c>
      <c r="F102">
        <v>3036.6</v>
      </c>
      <c r="G102">
        <v>182196</v>
      </c>
      <c r="H102" s="19" t="s">
        <v>1145</v>
      </c>
      <c r="I102" s="19">
        <v>1</v>
      </c>
    </row>
    <row r="103" spans="1:9">
      <c r="A103" t="s">
        <v>1151</v>
      </c>
      <c r="B103" t="str">
        <f>MID(Bud_Sal_Trxtbl[[#This Row],[PNR_ID]],7,5)</f>
        <v>C0003</v>
      </c>
      <c r="C103" t="s">
        <v>288</v>
      </c>
      <c r="D103">
        <v>1</v>
      </c>
      <c r="E103">
        <v>1</v>
      </c>
      <c r="F103">
        <v>12146.4</v>
      </c>
      <c r="G103">
        <v>12146.4</v>
      </c>
      <c r="H103" s="19" t="s">
        <v>1145</v>
      </c>
      <c r="I103" s="19">
        <v>1</v>
      </c>
    </row>
    <row r="104" spans="1:9">
      <c r="A104" t="s">
        <v>1151</v>
      </c>
      <c r="B104" t="str">
        <f>MID(Bud_Sal_Trxtbl[[#This Row],[PNR_ID]],7,5)</f>
        <v>C0003</v>
      </c>
      <c r="C104" t="s">
        <v>289</v>
      </c>
      <c r="D104">
        <v>1</v>
      </c>
      <c r="E104">
        <v>1</v>
      </c>
      <c r="F104">
        <v>1700.4960000000001</v>
      </c>
      <c r="G104">
        <v>1700.4960000000001</v>
      </c>
      <c r="H104" s="19" t="s">
        <v>1145</v>
      </c>
      <c r="I104" s="19">
        <v>1</v>
      </c>
    </row>
    <row r="105" spans="1:9">
      <c r="A105" t="s">
        <v>1152</v>
      </c>
      <c r="B105" t="str">
        <f>MID(Bud_Sal_Trxtbl[[#This Row],[PNR_ID]],7,5)</f>
        <v>C0006</v>
      </c>
      <c r="C105" t="s">
        <v>290</v>
      </c>
      <c r="D105">
        <v>1</v>
      </c>
      <c r="E105">
        <v>1</v>
      </c>
      <c r="F105">
        <v>2381.6</v>
      </c>
      <c r="G105">
        <v>2381.6</v>
      </c>
      <c r="H105" s="19" t="s">
        <v>1145</v>
      </c>
      <c r="I105" s="19">
        <v>1</v>
      </c>
    </row>
    <row r="106" spans="1:9">
      <c r="A106" t="s">
        <v>1152</v>
      </c>
      <c r="B106" t="str">
        <f>MID(Bud_Sal_Trxtbl[[#This Row],[PNR_ID]],7,5)</f>
        <v>C0006</v>
      </c>
      <c r="C106" t="s">
        <v>291</v>
      </c>
      <c r="D106">
        <v>1</v>
      </c>
      <c r="E106">
        <v>1</v>
      </c>
      <c r="F106">
        <v>102960</v>
      </c>
      <c r="G106">
        <v>102960</v>
      </c>
      <c r="H106" s="19" t="s">
        <v>1145</v>
      </c>
      <c r="I106" s="19">
        <v>1</v>
      </c>
    </row>
    <row r="107" spans="1:9">
      <c r="A107" t="s">
        <v>1152</v>
      </c>
      <c r="B107" t="str">
        <f>MID(Bud_Sal_Trxtbl[[#This Row],[PNR_ID]],7,5)</f>
        <v>C0006</v>
      </c>
      <c r="C107" t="s">
        <v>292</v>
      </c>
      <c r="D107">
        <v>12</v>
      </c>
      <c r="E107">
        <v>1</v>
      </c>
      <c r="F107">
        <v>1664</v>
      </c>
      <c r="G107">
        <v>19968</v>
      </c>
      <c r="H107" s="19" t="s">
        <v>1145</v>
      </c>
      <c r="I107" s="19">
        <v>1</v>
      </c>
    </row>
    <row r="108" spans="1:9">
      <c r="A108" t="s">
        <v>1152</v>
      </c>
      <c r="B108" t="str">
        <f>MID(Bud_Sal_Trxtbl[[#This Row],[PNR_ID]],7,5)</f>
        <v>C0006</v>
      </c>
      <c r="C108" t="s">
        <v>293</v>
      </c>
      <c r="D108">
        <v>1</v>
      </c>
      <c r="E108">
        <v>1</v>
      </c>
      <c r="F108">
        <v>10296</v>
      </c>
      <c r="G108">
        <v>10296</v>
      </c>
      <c r="H108" s="19" t="s">
        <v>1145</v>
      </c>
      <c r="I108" s="19">
        <v>1</v>
      </c>
    </row>
    <row r="109" spans="1:9">
      <c r="A109" t="s">
        <v>1152</v>
      </c>
      <c r="B109" t="str">
        <f>MID(Bud_Sal_Trxtbl[[#This Row],[PNR_ID]],7,5)</f>
        <v>C0006</v>
      </c>
      <c r="C109" t="s">
        <v>294</v>
      </c>
      <c r="D109">
        <v>50</v>
      </c>
      <c r="E109">
        <v>1</v>
      </c>
      <c r="F109">
        <v>3900</v>
      </c>
      <c r="G109">
        <v>195000</v>
      </c>
      <c r="H109" s="19" t="s">
        <v>1145</v>
      </c>
      <c r="I109" s="19">
        <v>1</v>
      </c>
    </row>
    <row r="110" spans="1:9">
      <c r="A110" t="s">
        <v>1152</v>
      </c>
      <c r="B110" t="str">
        <f>MID(Bud_Sal_Trxtbl[[#This Row],[PNR_ID]],7,5)</f>
        <v>C0006</v>
      </c>
      <c r="C110" t="s">
        <v>295</v>
      </c>
      <c r="D110">
        <v>50</v>
      </c>
      <c r="E110">
        <v>1</v>
      </c>
      <c r="F110">
        <v>520</v>
      </c>
      <c r="G110">
        <v>26000</v>
      </c>
      <c r="H110" s="19" t="s">
        <v>1145</v>
      </c>
      <c r="I110" s="19">
        <v>1</v>
      </c>
    </row>
    <row r="111" spans="1:9">
      <c r="A111" t="s">
        <v>1152</v>
      </c>
      <c r="B111" t="str">
        <f>MID(Bud_Sal_Trxtbl[[#This Row],[PNR_ID]],7,5)</f>
        <v>C0006</v>
      </c>
      <c r="C111" t="s">
        <v>296</v>
      </c>
      <c r="D111">
        <v>6</v>
      </c>
      <c r="E111">
        <v>1</v>
      </c>
      <c r="F111">
        <v>1625</v>
      </c>
      <c r="G111">
        <v>9750</v>
      </c>
      <c r="H111" s="19" t="s">
        <v>1145</v>
      </c>
      <c r="I111" s="19">
        <v>1</v>
      </c>
    </row>
    <row r="112" spans="1:9">
      <c r="A112" t="s">
        <v>1152</v>
      </c>
      <c r="B112" t="str">
        <f>MID(Bud_Sal_Trxtbl[[#This Row],[PNR_ID]],7,5)</f>
        <v>C0006</v>
      </c>
      <c r="C112" t="s">
        <v>297</v>
      </c>
      <c r="D112">
        <v>2</v>
      </c>
      <c r="E112">
        <v>1</v>
      </c>
      <c r="F112">
        <v>2600</v>
      </c>
      <c r="G112">
        <v>5200</v>
      </c>
      <c r="H112" s="19" t="s">
        <v>1145</v>
      </c>
      <c r="I112" s="19">
        <v>1</v>
      </c>
    </row>
    <row r="113" spans="1:9">
      <c r="A113" t="s">
        <v>1152</v>
      </c>
      <c r="B113" t="str">
        <f>MID(Bud_Sal_Trxtbl[[#This Row],[PNR_ID]],7,5)</f>
        <v>C0006</v>
      </c>
      <c r="C113" t="s">
        <v>298</v>
      </c>
      <c r="D113">
        <v>60</v>
      </c>
      <c r="E113">
        <v>1</v>
      </c>
      <c r="F113">
        <v>239.2</v>
      </c>
      <c r="G113">
        <v>14352</v>
      </c>
      <c r="H113" s="19" t="s">
        <v>1145</v>
      </c>
      <c r="I113" s="19">
        <v>1</v>
      </c>
    </row>
    <row r="114" spans="1:9">
      <c r="A114" t="s">
        <v>1152</v>
      </c>
      <c r="B114" t="str">
        <f>MID(Bud_Sal_Trxtbl[[#This Row],[PNR_ID]],7,5)</f>
        <v>C0006</v>
      </c>
      <c r="C114" t="s">
        <v>299</v>
      </c>
      <c r="D114">
        <v>1</v>
      </c>
      <c r="E114">
        <v>1</v>
      </c>
      <c r="F114">
        <v>10920</v>
      </c>
      <c r="G114">
        <v>10920</v>
      </c>
      <c r="H114" s="19" t="s">
        <v>1145</v>
      </c>
      <c r="I114" s="19">
        <v>1</v>
      </c>
    </row>
    <row r="115" spans="1:9">
      <c r="A115" t="s">
        <v>1152</v>
      </c>
      <c r="B115" t="str">
        <f>MID(Bud_Sal_Trxtbl[[#This Row],[PNR_ID]],7,5)</f>
        <v>C0006</v>
      </c>
      <c r="C115" t="s">
        <v>300</v>
      </c>
      <c r="D115">
        <v>1</v>
      </c>
      <c r="E115">
        <v>1</v>
      </c>
      <c r="F115">
        <v>1638</v>
      </c>
      <c r="G115">
        <v>1638</v>
      </c>
      <c r="H115" s="19" t="s">
        <v>1145</v>
      </c>
      <c r="I115" s="19">
        <v>1</v>
      </c>
    </row>
    <row r="116" spans="1:9">
      <c r="A116" t="s">
        <v>1152</v>
      </c>
      <c r="B116" t="str">
        <f>MID(Bud_Sal_Trxtbl[[#This Row],[PNR_ID]],7,5)</f>
        <v>C0006</v>
      </c>
      <c r="C116" t="s">
        <v>301</v>
      </c>
      <c r="D116">
        <v>50</v>
      </c>
      <c r="E116">
        <v>1</v>
      </c>
      <c r="F116">
        <v>234</v>
      </c>
      <c r="G116">
        <v>11700</v>
      </c>
      <c r="H116" s="19" t="s">
        <v>1145</v>
      </c>
      <c r="I116" s="19">
        <v>1</v>
      </c>
    </row>
    <row r="117" spans="1:9">
      <c r="A117" t="s">
        <v>1152</v>
      </c>
      <c r="B117" t="str">
        <f>MID(Bud_Sal_Trxtbl[[#This Row],[PNR_ID]],7,5)</f>
        <v>C0006</v>
      </c>
      <c r="C117" t="s">
        <v>302</v>
      </c>
      <c r="D117">
        <v>50</v>
      </c>
      <c r="E117">
        <v>1</v>
      </c>
      <c r="F117">
        <v>260</v>
      </c>
      <c r="G117">
        <v>13000</v>
      </c>
      <c r="H117" s="19" t="s">
        <v>1145</v>
      </c>
      <c r="I117" s="19">
        <v>1</v>
      </c>
    </row>
    <row r="118" spans="1:9">
      <c r="A118" t="s">
        <v>1152</v>
      </c>
      <c r="B118" t="str">
        <f>MID(Bud_Sal_Trxtbl[[#This Row],[PNR_ID]],7,5)</f>
        <v>C0006</v>
      </c>
      <c r="C118" t="s">
        <v>303</v>
      </c>
      <c r="D118">
        <v>1</v>
      </c>
      <c r="E118">
        <v>1</v>
      </c>
      <c r="F118">
        <v>48240.88</v>
      </c>
      <c r="G118">
        <v>48240.88</v>
      </c>
      <c r="H118" s="19" t="s">
        <v>1145</v>
      </c>
      <c r="I118" s="19">
        <v>1</v>
      </c>
    </row>
    <row r="119" spans="1:9">
      <c r="A119" t="s">
        <v>1152</v>
      </c>
      <c r="B119" t="str">
        <f>MID(Bud_Sal_Trxtbl[[#This Row],[PNR_ID]],7,5)</f>
        <v>C0006</v>
      </c>
      <c r="C119" t="s">
        <v>304</v>
      </c>
      <c r="D119">
        <v>1</v>
      </c>
      <c r="E119">
        <v>1</v>
      </c>
      <c r="F119">
        <v>5924.32</v>
      </c>
      <c r="G119">
        <v>5924.32</v>
      </c>
      <c r="H119" s="19" t="s">
        <v>1145</v>
      </c>
      <c r="I119" s="19">
        <v>1</v>
      </c>
    </row>
    <row r="120" spans="1:9">
      <c r="A120" t="s">
        <v>1153</v>
      </c>
      <c r="B120" t="str">
        <f>MID(Bud_Sal_Trxtbl[[#This Row],[PNR_ID]],7,5)</f>
        <v>C0202</v>
      </c>
      <c r="C120" t="s">
        <v>305</v>
      </c>
      <c r="D120">
        <v>65</v>
      </c>
      <c r="E120">
        <v>1</v>
      </c>
      <c r="F120">
        <v>10860</v>
      </c>
      <c r="G120" s="19">
        <v>705900</v>
      </c>
      <c r="H120" t="s">
        <v>1145</v>
      </c>
      <c r="I120" s="19">
        <v>1</v>
      </c>
    </row>
    <row r="121" spans="1:9">
      <c r="A121" t="s">
        <v>1153</v>
      </c>
      <c r="B121" t="str">
        <f>MID(Bud_Sal_Trxtbl[[#This Row],[PNR_ID]],7,5)</f>
        <v>C0202</v>
      </c>
      <c r="C121" t="s">
        <v>306</v>
      </c>
      <c r="D121">
        <v>25</v>
      </c>
      <c r="E121">
        <v>2</v>
      </c>
      <c r="F121">
        <v>11100</v>
      </c>
      <c r="G121">
        <v>555000</v>
      </c>
      <c r="H121" t="s">
        <v>1145</v>
      </c>
      <c r="I121" s="19">
        <v>1</v>
      </c>
    </row>
    <row r="122" spans="1:9">
      <c r="A122" t="s">
        <v>1153</v>
      </c>
      <c r="B122" t="str">
        <f>MID(Bud_Sal_Trxtbl[[#This Row],[PNR_ID]],7,5)</f>
        <v>C0202</v>
      </c>
      <c r="C122" t="s">
        <v>253</v>
      </c>
      <c r="E122">
        <v>0.1</v>
      </c>
      <c r="G122">
        <v>336243</v>
      </c>
      <c r="H122" t="s">
        <v>1145</v>
      </c>
      <c r="I122" s="19">
        <v>1</v>
      </c>
    </row>
    <row r="123" spans="1:9">
      <c r="A123" t="s">
        <v>1153</v>
      </c>
      <c r="B123" t="str">
        <f>MID(Bud_Sal_Trxtbl[[#This Row],[PNR_ID]],7,5)</f>
        <v>C0202</v>
      </c>
      <c r="C123" t="s">
        <v>307</v>
      </c>
      <c r="D123">
        <v>65</v>
      </c>
      <c r="E123">
        <v>1</v>
      </c>
      <c r="F123">
        <v>5100</v>
      </c>
      <c r="G123">
        <v>331500</v>
      </c>
      <c r="H123" t="s">
        <v>1145</v>
      </c>
      <c r="I123" s="19">
        <v>1</v>
      </c>
    </row>
    <row r="124" spans="1:9">
      <c r="A124" t="s">
        <v>1153</v>
      </c>
      <c r="B124" t="str">
        <f>MID(Bud_Sal_Trxtbl[[#This Row],[PNR_ID]],7,5)</f>
        <v>C0202</v>
      </c>
      <c r="C124" t="s">
        <v>308</v>
      </c>
      <c r="G124">
        <v>285000</v>
      </c>
      <c r="H124" t="s">
        <v>1145</v>
      </c>
      <c r="I124" s="19">
        <v>1</v>
      </c>
    </row>
    <row r="125" spans="1:9">
      <c r="A125" t="s">
        <v>1153</v>
      </c>
      <c r="B125" t="str">
        <f>MID(Bud_Sal_Trxtbl[[#This Row],[PNR_ID]],7,5)</f>
        <v>C0202</v>
      </c>
      <c r="C125" t="s">
        <v>266</v>
      </c>
      <c r="D125">
        <v>65</v>
      </c>
      <c r="E125">
        <v>1</v>
      </c>
      <c r="F125">
        <v>3650</v>
      </c>
      <c r="G125">
        <v>237250</v>
      </c>
      <c r="H125" t="s">
        <v>1145</v>
      </c>
      <c r="I125" s="19">
        <v>1</v>
      </c>
    </row>
    <row r="126" spans="1:9">
      <c r="A126" t="s">
        <v>1153</v>
      </c>
      <c r="B126" t="str">
        <f>MID(Bud_Sal_Trxtbl[[#This Row],[PNR_ID]],7,5)</f>
        <v>C0202</v>
      </c>
      <c r="C126" t="s">
        <v>309</v>
      </c>
      <c r="D126">
        <v>12</v>
      </c>
      <c r="E126">
        <v>2</v>
      </c>
      <c r="F126">
        <v>8950</v>
      </c>
      <c r="G126">
        <v>214800</v>
      </c>
      <c r="H126" t="s">
        <v>1145</v>
      </c>
      <c r="I126" s="19">
        <v>1</v>
      </c>
    </row>
    <row r="127" spans="1:9">
      <c r="A127" t="s">
        <v>1153</v>
      </c>
      <c r="B127" t="str">
        <f>MID(Bud_Sal_Trxtbl[[#This Row],[PNR_ID]],7,5)</f>
        <v>C0202</v>
      </c>
      <c r="C127" t="s">
        <v>310</v>
      </c>
      <c r="G127">
        <v>142500</v>
      </c>
      <c r="H127" t="s">
        <v>1145</v>
      </c>
      <c r="I127" s="19">
        <v>1</v>
      </c>
    </row>
    <row r="128" spans="1:9">
      <c r="A128" t="s">
        <v>1153</v>
      </c>
      <c r="B128" t="str">
        <f>MID(Bud_Sal_Trxtbl[[#This Row],[PNR_ID]],7,5)</f>
        <v>C0202</v>
      </c>
      <c r="C128" t="s">
        <v>311</v>
      </c>
      <c r="D128">
        <v>65</v>
      </c>
      <c r="E128">
        <v>1</v>
      </c>
      <c r="F128">
        <v>2100</v>
      </c>
      <c r="G128">
        <v>136500</v>
      </c>
      <c r="H128" t="s">
        <v>1145</v>
      </c>
      <c r="I128" s="19">
        <v>1</v>
      </c>
    </row>
    <row r="129" spans="1:9">
      <c r="A129" t="s">
        <v>1153</v>
      </c>
      <c r="B129" t="str">
        <f>MID(Bud_Sal_Trxtbl[[#This Row],[PNR_ID]],7,5)</f>
        <v>C0202</v>
      </c>
      <c r="C129" t="s">
        <v>312</v>
      </c>
      <c r="D129">
        <v>65</v>
      </c>
      <c r="E129">
        <v>1</v>
      </c>
      <c r="F129">
        <v>2100</v>
      </c>
      <c r="G129">
        <v>136500</v>
      </c>
      <c r="H129" t="s">
        <v>1145</v>
      </c>
      <c r="I129" s="19">
        <v>1</v>
      </c>
    </row>
    <row r="130" spans="1:9">
      <c r="A130" t="s">
        <v>1153</v>
      </c>
      <c r="B130" t="str">
        <f>MID(Bud_Sal_Trxtbl[[#This Row],[PNR_ID]],7,5)</f>
        <v>C0202</v>
      </c>
      <c r="C130" t="s">
        <v>313</v>
      </c>
      <c r="D130">
        <v>65</v>
      </c>
      <c r="E130">
        <v>1</v>
      </c>
      <c r="F130">
        <v>1880</v>
      </c>
      <c r="G130">
        <v>122200</v>
      </c>
      <c r="H130" t="s">
        <v>1145</v>
      </c>
      <c r="I130" s="19">
        <v>1</v>
      </c>
    </row>
    <row r="131" spans="1:9">
      <c r="A131" t="s">
        <v>1153</v>
      </c>
      <c r="B131" t="str">
        <f>MID(Bud_Sal_Trxtbl[[#This Row],[PNR_ID]],7,5)</f>
        <v>C0202</v>
      </c>
      <c r="C131" t="s">
        <v>314</v>
      </c>
      <c r="D131">
        <v>65</v>
      </c>
      <c r="E131">
        <v>1</v>
      </c>
      <c r="F131">
        <v>1500</v>
      </c>
      <c r="G131">
        <v>97500</v>
      </c>
      <c r="H131" t="s">
        <v>1145</v>
      </c>
      <c r="I131" s="19">
        <v>1</v>
      </c>
    </row>
    <row r="132" spans="1:9">
      <c r="A132" t="s">
        <v>1153</v>
      </c>
      <c r="B132" t="str">
        <f>MID(Bud_Sal_Trxtbl[[#This Row],[PNR_ID]],7,5)</f>
        <v>C0202</v>
      </c>
      <c r="C132" t="s">
        <v>315</v>
      </c>
      <c r="D132">
        <v>1</v>
      </c>
      <c r="E132">
        <v>3</v>
      </c>
      <c r="F132">
        <v>25000</v>
      </c>
      <c r="G132">
        <v>75000</v>
      </c>
      <c r="H132" t="s">
        <v>1145</v>
      </c>
      <c r="I132" s="19">
        <v>1</v>
      </c>
    </row>
    <row r="133" spans="1:9">
      <c r="A133" t="s">
        <v>1153</v>
      </c>
      <c r="B133" t="str">
        <f>MID(Bud_Sal_Trxtbl[[#This Row],[PNR_ID]],7,5)</f>
        <v>C0202</v>
      </c>
      <c r="C133" t="s">
        <v>316</v>
      </c>
      <c r="D133">
        <v>3</v>
      </c>
      <c r="E133">
        <v>2</v>
      </c>
      <c r="F133">
        <v>11070</v>
      </c>
      <c r="G133">
        <v>66420</v>
      </c>
      <c r="H133" t="s">
        <v>1145</v>
      </c>
      <c r="I133" s="19">
        <v>1</v>
      </c>
    </row>
    <row r="134" spans="1:9">
      <c r="A134" t="s">
        <v>1153</v>
      </c>
      <c r="B134" t="str">
        <f>MID(Bud_Sal_Trxtbl[[#This Row],[PNR_ID]],7,5)</f>
        <v>C0202</v>
      </c>
      <c r="C134" t="s">
        <v>317</v>
      </c>
      <c r="G134">
        <v>58500</v>
      </c>
      <c r="H134" t="s">
        <v>1145</v>
      </c>
      <c r="I134" s="19">
        <v>1</v>
      </c>
    </row>
    <row r="135" spans="1:9">
      <c r="A135" t="s">
        <v>1153</v>
      </c>
      <c r="B135" t="str">
        <f>MID(Bud_Sal_Trxtbl[[#This Row],[PNR_ID]],7,5)</f>
        <v>C0202</v>
      </c>
      <c r="C135" t="s">
        <v>318</v>
      </c>
      <c r="E135">
        <v>0.14000000000000001</v>
      </c>
      <c r="G135">
        <v>47074.020000000004</v>
      </c>
      <c r="H135" t="s">
        <v>1145</v>
      </c>
      <c r="I135" s="19">
        <v>1</v>
      </c>
    </row>
    <row r="136" spans="1:9">
      <c r="A136" t="s">
        <v>1153</v>
      </c>
      <c r="B136" t="str">
        <f>MID(Bud_Sal_Trxtbl[[#This Row],[PNR_ID]],7,5)</f>
        <v>C0202</v>
      </c>
      <c r="C136" t="s">
        <v>319</v>
      </c>
      <c r="G136">
        <v>35000</v>
      </c>
      <c r="H136" t="s">
        <v>1145</v>
      </c>
      <c r="I136" s="19">
        <v>1</v>
      </c>
    </row>
    <row r="137" spans="1:9">
      <c r="A137" t="s">
        <v>1153</v>
      </c>
      <c r="B137" t="str">
        <f>MID(Bud_Sal_Trxtbl[[#This Row],[PNR_ID]],7,5)</f>
        <v>C0202</v>
      </c>
      <c r="C137" t="s">
        <v>256</v>
      </c>
      <c r="D137">
        <v>1</v>
      </c>
      <c r="E137">
        <v>1</v>
      </c>
      <c r="G137" s="19">
        <v>33260</v>
      </c>
      <c r="H137" t="s">
        <v>1145</v>
      </c>
      <c r="I137" s="19">
        <v>1</v>
      </c>
    </row>
    <row r="138" spans="1:9">
      <c r="A138" t="s">
        <v>1153</v>
      </c>
      <c r="B138" t="str">
        <f>MID(Bud_Sal_Trxtbl[[#This Row],[PNR_ID]],7,5)</f>
        <v>C0202</v>
      </c>
      <c r="C138" t="s">
        <v>320</v>
      </c>
      <c r="D138">
        <v>1</v>
      </c>
      <c r="E138">
        <v>1</v>
      </c>
      <c r="F138">
        <v>58000</v>
      </c>
      <c r="H138" t="s">
        <v>1145</v>
      </c>
      <c r="I138" s="19">
        <v>1</v>
      </c>
    </row>
    <row r="139" spans="1:9">
      <c r="A139" t="s">
        <v>1153</v>
      </c>
      <c r="B139" t="str">
        <f>MID(Bud_Sal_Trxtbl[[#This Row],[PNR_ID]],7,5)</f>
        <v>C0202</v>
      </c>
      <c r="C139" t="s">
        <v>321</v>
      </c>
      <c r="D139">
        <v>1</v>
      </c>
      <c r="E139">
        <v>1</v>
      </c>
      <c r="F139">
        <v>24000</v>
      </c>
      <c r="G139">
        <v>24000</v>
      </c>
      <c r="H139" t="s">
        <v>1145</v>
      </c>
      <c r="I139" s="19">
        <v>1</v>
      </c>
    </row>
    <row r="140" spans="1:9">
      <c r="A140" t="s">
        <v>1153</v>
      </c>
      <c r="B140" t="str">
        <f>MID(Bud_Sal_Trxtbl[[#This Row],[PNR_ID]],7,5)</f>
        <v>C0202</v>
      </c>
      <c r="C140" t="s">
        <v>255</v>
      </c>
      <c r="D140">
        <v>1</v>
      </c>
      <c r="E140">
        <v>2</v>
      </c>
      <c r="F140">
        <v>8900</v>
      </c>
      <c r="G140" s="19">
        <v>17800</v>
      </c>
      <c r="H140" t="s">
        <v>1145</v>
      </c>
      <c r="I140" s="19">
        <v>1</v>
      </c>
    </row>
    <row r="141" spans="1:9">
      <c r="A141" t="s">
        <v>1153</v>
      </c>
      <c r="B141" t="str">
        <f>MID(Bud_Sal_Trxtbl[[#This Row],[PNR_ID]],7,5)</f>
        <v>C0202</v>
      </c>
      <c r="C141" t="s">
        <v>322</v>
      </c>
      <c r="D141">
        <v>2</v>
      </c>
      <c r="E141">
        <v>1</v>
      </c>
      <c r="F141">
        <v>7500</v>
      </c>
      <c r="G141" s="19">
        <v>15000</v>
      </c>
      <c r="H141" t="s">
        <v>1145</v>
      </c>
      <c r="I141" s="19">
        <v>1</v>
      </c>
    </row>
    <row r="142" spans="1:9">
      <c r="A142" t="s">
        <v>1153</v>
      </c>
      <c r="B142" t="str">
        <f>MID(Bud_Sal_Trxtbl[[#This Row],[PNR_ID]],7,5)</f>
        <v>C0202</v>
      </c>
      <c r="C142" t="s">
        <v>323</v>
      </c>
      <c r="D142">
        <v>2</v>
      </c>
      <c r="E142">
        <v>1</v>
      </c>
      <c r="F142">
        <v>7500</v>
      </c>
      <c r="G142" s="19">
        <v>15000</v>
      </c>
      <c r="H142" t="s">
        <v>1145</v>
      </c>
      <c r="I142" s="19">
        <v>1</v>
      </c>
    </row>
    <row r="143" spans="1:9">
      <c r="A143" t="s">
        <v>1153</v>
      </c>
      <c r="B143" t="str">
        <f>MID(Bud_Sal_Trxtbl[[#This Row],[PNR_ID]],7,5)</f>
        <v>C0202</v>
      </c>
      <c r="C143" t="s">
        <v>324</v>
      </c>
      <c r="G143">
        <v>14200</v>
      </c>
      <c r="H143" t="s">
        <v>1145</v>
      </c>
      <c r="I143" s="19">
        <v>1</v>
      </c>
    </row>
    <row r="144" spans="1:9">
      <c r="A144" t="s">
        <v>1153</v>
      </c>
      <c r="B144" t="str">
        <f>MID(Bud_Sal_Trxtbl[[#This Row],[PNR_ID]],7,5)</f>
        <v>C0202</v>
      </c>
      <c r="C144" t="s">
        <v>325</v>
      </c>
      <c r="D144">
        <v>1</v>
      </c>
      <c r="E144">
        <v>1</v>
      </c>
      <c r="F144">
        <v>12000</v>
      </c>
      <c r="G144">
        <v>12000</v>
      </c>
      <c r="H144" t="s">
        <v>1145</v>
      </c>
      <c r="I144" s="19">
        <v>1</v>
      </c>
    </row>
    <row r="145" spans="1:9">
      <c r="A145" t="s">
        <v>1153</v>
      </c>
      <c r="B145" t="str">
        <f>MID(Bud_Sal_Trxtbl[[#This Row],[PNR_ID]],7,5)</f>
        <v>C0202</v>
      </c>
      <c r="C145" t="s">
        <v>326</v>
      </c>
      <c r="D145">
        <v>65</v>
      </c>
      <c r="E145">
        <v>1</v>
      </c>
      <c r="F145">
        <v>175</v>
      </c>
      <c r="G145">
        <v>11375</v>
      </c>
      <c r="H145" t="s">
        <v>1145</v>
      </c>
      <c r="I145" s="19">
        <v>1</v>
      </c>
    </row>
    <row r="146" spans="1:9">
      <c r="A146" t="s">
        <v>1153</v>
      </c>
      <c r="B146" t="str">
        <f>MID(Bud_Sal_Trxtbl[[#This Row],[PNR_ID]],7,5)</f>
        <v>C0202</v>
      </c>
      <c r="C146" t="s">
        <v>327</v>
      </c>
      <c r="D146">
        <v>65</v>
      </c>
      <c r="E146">
        <v>1</v>
      </c>
      <c r="F146">
        <v>165</v>
      </c>
      <c r="G146">
        <v>10725</v>
      </c>
      <c r="H146" t="s">
        <v>1145</v>
      </c>
      <c r="I146" s="19">
        <v>1</v>
      </c>
    </row>
    <row r="147" spans="1:9">
      <c r="A147" t="s">
        <v>1153</v>
      </c>
      <c r="B147" t="str">
        <f>MID(Bud_Sal_Trxtbl[[#This Row],[PNR_ID]],7,5)</f>
        <v>C0202</v>
      </c>
      <c r="C147" t="s">
        <v>328</v>
      </c>
      <c r="G147">
        <v>9500</v>
      </c>
      <c r="H147" t="s">
        <v>1145</v>
      </c>
      <c r="I147" s="19">
        <v>1</v>
      </c>
    </row>
    <row r="148" spans="1:9">
      <c r="A148" t="s">
        <v>1155</v>
      </c>
      <c r="B148" t="str">
        <f>MID(Bud_Sal_Trxtbl[[#This Row],[PNR_ID]],7,5)</f>
        <v>C0003</v>
      </c>
      <c r="C148" t="s">
        <v>249</v>
      </c>
      <c r="D148">
        <v>1</v>
      </c>
      <c r="E148">
        <v>1</v>
      </c>
      <c r="F148">
        <v>8000</v>
      </c>
      <c r="G148">
        <v>8000</v>
      </c>
      <c r="H148" t="s">
        <v>1145</v>
      </c>
      <c r="I148" s="19">
        <v>1</v>
      </c>
    </row>
    <row r="149" spans="1:9">
      <c r="A149" t="s">
        <v>1155</v>
      </c>
      <c r="B149" t="str">
        <f>MID(Bud_Sal_Trxtbl[[#This Row],[PNR_ID]],7,5)</f>
        <v>C0003</v>
      </c>
      <c r="C149" t="s">
        <v>250</v>
      </c>
      <c r="D149">
        <v>1</v>
      </c>
      <c r="E149">
        <v>0</v>
      </c>
      <c r="F149">
        <v>10000</v>
      </c>
      <c r="G149">
        <v>0</v>
      </c>
      <c r="H149" t="s">
        <v>1145</v>
      </c>
      <c r="I149" s="19">
        <v>1</v>
      </c>
    </row>
    <row r="150" spans="1:9">
      <c r="A150" t="s">
        <v>1155</v>
      </c>
      <c r="B150" t="str">
        <f>MID(Bud_Sal_Trxtbl[[#This Row],[PNR_ID]],7,5)</f>
        <v>C0003</v>
      </c>
      <c r="C150" t="s">
        <v>251</v>
      </c>
      <c r="D150">
        <v>1</v>
      </c>
      <c r="E150">
        <v>0</v>
      </c>
      <c r="F150">
        <v>15000</v>
      </c>
      <c r="G150">
        <v>0</v>
      </c>
      <c r="H150" t="s">
        <v>1145</v>
      </c>
      <c r="I150" s="19">
        <v>1</v>
      </c>
    </row>
    <row r="151" spans="1:9">
      <c r="A151" t="s">
        <v>1155</v>
      </c>
      <c r="B151" t="str">
        <f>MID(Bud_Sal_Trxtbl[[#This Row],[PNR_ID]],7,5)</f>
        <v>C0003</v>
      </c>
      <c r="C151" t="s">
        <v>329</v>
      </c>
      <c r="D151">
        <v>1</v>
      </c>
      <c r="E151">
        <v>1</v>
      </c>
      <c r="F151">
        <v>1500</v>
      </c>
      <c r="G151">
        <v>1500</v>
      </c>
      <c r="H151" t="s">
        <v>1145</v>
      </c>
      <c r="I151" s="19">
        <v>1</v>
      </c>
    </row>
    <row r="152" spans="1:9">
      <c r="A152" t="s">
        <v>1155</v>
      </c>
      <c r="B152" t="str">
        <f>MID(Bud_Sal_Trxtbl[[#This Row],[PNR_ID]],7,5)</f>
        <v>C0003</v>
      </c>
      <c r="C152" t="s">
        <v>330</v>
      </c>
      <c r="D152">
        <v>1</v>
      </c>
      <c r="E152">
        <v>1</v>
      </c>
      <c r="F152">
        <v>360</v>
      </c>
      <c r="G152">
        <v>360</v>
      </c>
      <c r="H152" t="s">
        <v>1145</v>
      </c>
      <c r="I152" s="19">
        <v>1</v>
      </c>
    </row>
    <row r="153" spans="1:9">
      <c r="A153" t="s">
        <v>1155</v>
      </c>
      <c r="B153" t="str">
        <f>MID(Bud_Sal_Trxtbl[[#This Row],[PNR_ID]],7,5)</f>
        <v>C0003</v>
      </c>
      <c r="C153" t="s">
        <v>331</v>
      </c>
      <c r="D153">
        <v>8</v>
      </c>
      <c r="E153">
        <v>1</v>
      </c>
      <c r="F153">
        <v>1672</v>
      </c>
      <c r="G153">
        <v>13376</v>
      </c>
      <c r="H153" t="s">
        <v>1145</v>
      </c>
      <c r="I153" s="19">
        <v>1</v>
      </c>
    </row>
    <row r="154" spans="1:9">
      <c r="A154" t="s">
        <v>1155</v>
      </c>
      <c r="B154" t="str">
        <f>MID(Bud_Sal_Trxtbl[[#This Row],[PNR_ID]],7,5)</f>
        <v>C0003</v>
      </c>
      <c r="C154" t="s">
        <v>332</v>
      </c>
      <c r="D154">
        <v>1</v>
      </c>
      <c r="E154">
        <v>1</v>
      </c>
      <c r="G154">
        <v>36000</v>
      </c>
      <c r="H154" t="s">
        <v>1145</v>
      </c>
      <c r="I154" s="19">
        <v>1</v>
      </c>
    </row>
    <row r="155" spans="1:9">
      <c r="A155" t="s">
        <v>1155</v>
      </c>
      <c r="B155" t="str">
        <f>MID(Bud_Sal_Trxtbl[[#This Row],[PNR_ID]],7,5)</f>
        <v>C0003</v>
      </c>
      <c r="C155" t="s">
        <v>333</v>
      </c>
      <c r="D155">
        <v>1</v>
      </c>
      <c r="E155">
        <v>1</v>
      </c>
      <c r="F155">
        <v>2000</v>
      </c>
      <c r="G155">
        <v>2000</v>
      </c>
      <c r="H155" t="s">
        <v>1145</v>
      </c>
      <c r="I155" s="19">
        <v>1</v>
      </c>
    </row>
    <row r="156" spans="1:9">
      <c r="A156" t="s">
        <v>1155</v>
      </c>
      <c r="B156" t="str">
        <f>MID(Bud_Sal_Trxtbl[[#This Row],[PNR_ID]],7,5)</f>
        <v>C0003</v>
      </c>
      <c r="C156" t="s">
        <v>334</v>
      </c>
      <c r="D156">
        <v>12</v>
      </c>
      <c r="E156">
        <v>1</v>
      </c>
      <c r="F156">
        <v>1500</v>
      </c>
      <c r="G156">
        <v>18000</v>
      </c>
      <c r="H156" t="s">
        <v>1145</v>
      </c>
      <c r="I156" s="19">
        <v>1</v>
      </c>
    </row>
    <row r="157" spans="1:9">
      <c r="A157" t="s">
        <v>1155</v>
      </c>
      <c r="B157" t="str">
        <f>MID(Bud_Sal_Trxtbl[[#This Row],[PNR_ID]],7,5)</f>
        <v>C0003</v>
      </c>
      <c r="C157" t="s">
        <v>335</v>
      </c>
      <c r="D157">
        <v>6</v>
      </c>
      <c r="E157">
        <v>1</v>
      </c>
      <c r="F157">
        <v>1500</v>
      </c>
      <c r="G157">
        <v>9000</v>
      </c>
      <c r="H157" t="s">
        <v>1145</v>
      </c>
      <c r="I157" s="19">
        <v>1</v>
      </c>
    </row>
    <row r="158" spans="1:9">
      <c r="A158" t="s">
        <v>1155</v>
      </c>
      <c r="B158" t="str">
        <f>MID(Bud_Sal_Trxtbl[[#This Row],[PNR_ID]],7,5)</f>
        <v>C0003</v>
      </c>
      <c r="C158" t="s">
        <v>285</v>
      </c>
      <c r="D158">
        <v>1</v>
      </c>
      <c r="E158">
        <v>1</v>
      </c>
      <c r="F158">
        <v>13000</v>
      </c>
      <c r="G158">
        <v>13000</v>
      </c>
      <c r="H158" t="s">
        <v>1145</v>
      </c>
      <c r="I158" s="19">
        <v>1</v>
      </c>
    </row>
    <row r="159" spans="1:9">
      <c r="A159" t="s">
        <v>1155</v>
      </c>
      <c r="B159" t="str">
        <f>MID(Bud_Sal_Trxtbl[[#This Row],[PNR_ID]],7,5)</f>
        <v>C0003</v>
      </c>
      <c r="C159" t="s">
        <v>336</v>
      </c>
      <c r="D159">
        <v>2</v>
      </c>
      <c r="E159">
        <v>3</v>
      </c>
      <c r="H159" t="s">
        <v>1145</v>
      </c>
      <c r="I159" s="19">
        <v>1</v>
      </c>
    </row>
    <row r="160" spans="1:9">
      <c r="A160" t="s">
        <v>1155</v>
      </c>
      <c r="B160" t="str">
        <f>MID(Bud_Sal_Trxtbl[[#This Row],[PNR_ID]],7,5)</f>
        <v>C0003</v>
      </c>
      <c r="C160" t="s">
        <v>337</v>
      </c>
      <c r="D160">
        <v>8</v>
      </c>
      <c r="E160">
        <v>1</v>
      </c>
      <c r="F160">
        <v>970</v>
      </c>
      <c r="G160">
        <v>7760</v>
      </c>
      <c r="H160" t="s">
        <v>1145</v>
      </c>
      <c r="I160" s="19">
        <v>1</v>
      </c>
    </row>
    <row r="161" spans="1:9">
      <c r="A161" t="s">
        <v>1155</v>
      </c>
      <c r="B161" t="str">
        <f>MID(Bud_Sal_Trxtbl[[#This Row],[PNR_ID]],7,5)</f>
        <v>C0003</v>
      </c>
      <c r="C161" t="s">
        <v>338</v>
      </c>
      <c r="D161">
        <v>50</v>
      </c>
      <c r="E161">
        <v>1</v>
      </c>
      <c r="F161">
        <v>431.4</v>
      </c>
      <c r="G161">
        <v>21570</v>
      </c>
      <c r="H161" t="s">
        <v>1145</v>
      </c>
      <c r="I161" s="19">
        <v>1</v>
      </c>
    </row>
    <row r="162" spans="1:9">
      <c r="A162" t="s">
        <v>1155</v>
      </c>
      <c r="B162" t="str">
        <f>MID(Bud_Sal_Trxtbl[[#This Row],[PNR_ID]],7,5)</f>
        <v>C0003</v>
      </c>
      <c r="C162" t="s">
        <v>278</v>
      </c>
      <c r="D162">
        <v>10</v>
      </c>
      <c r="E162">
        <v>1</v>
      </c>
      <c r="F162" t="s">
        <v>1148</v>
      </c>
      <c r="G162">
        <v>0</v>
      </c>
      <c r="H162" t="s">
        <v>1145</v>
      </c>
      <c r="I162" s="19">
        <v>1</v>
      </c>
    </row>
    <row r="163" spans="1:9">
      <c r="A163" t="s">
        <v>1155</v>
      </c>
      <c r="B163" t="str">
        <f>MID(Bud_Sal_Trxtbl[[#This Row],[PNR_ID]],7,5)</f>
        <v>C0003</v>
      </c>
      <c r="C163" t="s">
        <v>339</v>
      </c>
      <c r="D163">
        <v>50</v>
      </c>
      <c r="E163">
        <v>1</v>
      </c>
      <c r="F163">
        <v>3400</v>
      </c>
      <c r="G163">
        <v>170000</v>
      </c>
      <c r="H163" t="s">
        <v>1145</v>
      </c>
      <c r="I163" s="19">
        <v>1</v>
      </c>
    </row>
    <row r="164" spans="1:9">
      <c r="A164" t="s">
        <v>1155</v>
      </c>
      <c r="B164" t="str">
        <f>MID(Bud_Sal_Trxtbl[[#This Row],[PNR_ID]],7,5)</f>
        <v>C0003</v>
      </c>
      <c r="C164" t="s">
        <v>340</v>
      </c>
      <c r="D164">
        <v>50</v>
      </c>
      <c r="E164">
        <v>1</v>
      </c>
      <c r="F164">
        <v>200</v>
      </c>
      <c r="G164">
        <v>10000</v>
      </c>
      <c r="H164" t="s">
        <v>1145</v>
      </c>
      <c r="I164" s="19">
        <v>1</v>
      </c>
    </row>
    <row r="165" spans="1:9">
      <c r="A165" t="s">
        <v>1155</v>
      </c>
      <c r="B165" t="str">
        <f>MID(Bud_Sal_Trxtbl[[#This Row],[PNR_ID]],7,5)</f>
        <v>C0003</v>
      </c>
      <c r="C165" t="s">
        <v>275</v>
      </c>
      <c r="D165">
        <v>50</v>
      </c>
      <c r="E165">
        <v>1</v>
      </c>
      <c r="F165">
        <v>460</v>
      </c>
      <c r="G165">
        <v>23000</v>
      </c>
      <c r="H165" t="s">
        <v>1145</v>
      </c>
      <c r="I165" s="19">
        <v>1</v>
      </c>
    </row>
    <row r="166" spans="1:9">
      <c r="A166" t="s">
        <v>1155</v>
      </c>
      <c r="B166" t="str">
        <f>MID(Bud_Sal_Trxtbl[[#This Row],[PNR_ID]],7,5)</f>
        <v>C0003</v>
      </c>
      <c r="C166" t="s">
        <v>341</v>
      </c>
      <c r="D166">
        <v>51</v>
      </c>
      <c r="E166">
        <v>1</v>
      </c>
      <c r="F166">
        <v>470</v>
      </c>
      <c r="G166">
        <v>23970</v>
      </c>
      <c r="H166" t="s">
        <v>1145</v>
      </c>
      <c r="I166" s="19">
        <v>1</v>
      </c>
    </row>
    <row r="167" spans="1:9">
      <c r="A167" t="s">
        <v>1155</v>
      </c>
      <c r="B167" t="str">
        <f>MID(Bud_Sal_Trxtbl[[#This Row],[PNR_ID]],7,5)</f>
        <v>C0003</v>
      </c>
      <c r="C167" t="s">
        <v>342</v>
      </c>
      <c r="G167" s="19">
        <v>7000</v>
      </c>
      <c r="H167" t="s">
        <v>1145</v>
      </c>
      <c r="I167" s="19">
        <v>1</v>
      </c>
    </row>
    <row r="168" spans="1:9">
      <c r="A168" t="s">
        <v>1155</v>
      </c>
      <c r="B168" t="str">
        <f>MID(Bud_Sal_Trxtbl[[#This Row],[PNR_ID]],7,5)</f>
        <v>C0003</v>
      </c>
      <c r="C168" t="s">
        <v>253</v>
      </c>
      <c r="G168">
        <v>46573.104000000007</v>
      </c>
      <c r="H168" t="s">
        <v>1145</v>
      </c>
      <c r="I168" s="19">
        <v>1</v>
      </c>
    </row>
    <row r="169" spans="1:9">
      <c r="A169" t="s">
        <v>1155</v>
      </c>
      <c r="B169" t="str">
        <f>MID(Bud_Sal_Trxtbl[[#This Row],[PNR_ID]],7,5)</f>
        <v>C0003</v>
      </c>
      <c r="C169" t="s">
        <v>343</v>
      </c>
      <c r="D169">
        <v>1</v>
      </c>
      <c r="E169">
        <v>1</v>
      </c>
      <c r="G169">
        <v>44000</v>
      </c>
      <c r="H169" t="s">
        <v>1145</v>
      </c>
      <c r="I169" s="19">
        <v>1</v>
      </c>
    </row>
    <row r="170" spans="1:9">
      <c r="A170" t="s">
        <v>1155</v>
      </c>
      <c r="B170" t="str">
        <f>MID(Bud_Sal_Trxtbl[[#This Row],[PNR_ID]],7,5)</f>
        <v>C0003</v>
      </c>
      <c r="C170" t="s">
        <v>344</v>
      </c>
      <c r="D170">
        <v>1</v>
      </c>
      <c r="E170">
        <v>1</v>
      </c>
      <c r="H170" t="s">
        <v>1145</v>
      </c>
      <c r="I170" s="19">
        <v>1</v>
      </c>
    </row>
    <row r="171" spans="1:9">
      <c r="A171" t="s">
        <v>1155</v>
      </c>
      <c r="B171" t="str">
        <f>MID(Bud_Sal_Trxtbl[[#This Row],[PNR_ID]],7,5)</f>
        <v>C0003</v>
      </c>
      <c r="C171" t="s">
        <v>345</v>
      </c>
      <c r="H171" t="s">
        <v>1145</v>
      </c>
      <c r="I171" s="19">
        <v>1</v>
      </c>
    </row>
    <row r="172" spans="1:9">
      <c r="A172" t="s">
        <v>1155</v>
      </c>
      <c r="B172" t="str">
        <f>MID(Bud_Sal_Trxtbl[[#This Row],[PNR_ID]],7,5)</f>
        <v>C0003</v>
      </c>
      <c r="C172" t="s">
        <v>346</v>
      </c>
      <c r="D172">
        <v>1</v>
      </c>
      <c r="E172">
        <v>1</v>
      </c>
      <c r="H172" t="s">
        <v>1145</v>
      </c>
      <c r="I172" s="19">
        <v>1</v>
      </c>
    </row>
    <row r="173" spans="1:9">
      <c r="A173" t="s">
        <v>679</v>
      </c>
      <c r="B173" t="str">
        <f>MID(Bud_Sal_Trxtbl[[#This Row],[PNR_ID]],7,5)</f>
        <v>C0003</v>
      </c>
      <c r="C173" t="s">
        <v>347</v>
      </c>
      <c r="D173">
        <v>1</v>
      </c>
      <c r="E173">
        <v>1</v>
      </c>
      <c r="F173">
        <v>43524</v>
      </c>
      <c r="G173">
        <v>861.86138613861385</v>
      </c>
      <c r="H173" t="s">
        <v>1139</v>
      </c>
      <c r="I173">
        <v>51.13</v>
      </c>
    </row>
    <row r="174" spans="1:9">
      <c r="A174" t="s">
        <v>679</v>
      </c>
      <c r="B174" t="str">
        <f>MID(Bud_Sal_Trxtbl[[#This Row],[PNR_ID]],7,5)</f>
        <v>C0003</v>
      </c>
      <c r="C174" t="s">
        <v>348</v>
      </c>
      <c r="D174">
        <v>1</v>
      </c>
      <c r="E174">
        <v>1</v>
      </c>
      <c r="F174">
        <v>10000</v>
      </c>
      <c r="G174">
        <v>198.01980198019803</v>
      </c>
      <c r="H174" t="s">
        <v>1139</v>
      </c>
      <c r="I174">
        <v>51.13</v>
      </c>
    </row>
    <row r="175" spans="1:9">
      <c r="A175" t="s">
        <v>679</v>
      </c>
      <c r="B175" t="str">
        <f>MID(Bud_Sal_Trxtbl[[#This Row],[PNR_ID]],7,5)</f>
        <v>C0003</v>
      </c>
      <c r="C175" t="s">
        <v>349</v>
      </c>
      <c r="D175">
        <v>0.1</v>
      </c>
      <c r="E175">
        <v>1</v>
      </c>
      <c r="G175">
        <v>105.98811881188119</v>
      </c>
      <c r="H175" t="s">
        <v>1139</v>
      </c>
      <c r="I175">
        <v>51.13</v>
      </c>
    </row>
    <row r="176" spans="1:9">
      <c r="A176" t="s">
        <v>679</v>
      </c>
      <c r="B176" t="str">
        <f>MID(Bud_Sal_Trxtbl[[#This Row],[PNR_ID]],7,5)</f>
        <v>C0003</v>
      </c>
      <c r="C176" t="s">
        <v>350</v>
      </c>
      <c r="D176">
        <v>0.14000000000000001</v>
      </c>
      <c r="E176">
        <v>1</v>
      </c>
      <c r="G176">
        <v>14.838336633663369</v>
      </c>
      <c r="H176" t="s">
        <v>1139</v>
      </c>
      <c r="I176">
        <v>51.13</v>
      </c>
    </row>
  </sheetData>
  <conditionalFormatting sqref="B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FF46B9AA-AA9F-4DE7-8158-1FD0A8227524}">
  <ds:schemaRefs/>
</ds:datastoreItem>
</file>

<file path=customXml/itemProps2.xml><?xml version="1.0" encoding="utf-8"?>
<ds:datastoreItem xmlns:ds="http://schemas.openxmlformats.org/officeDocument/2006/customXml" ds:itemID="{F07886CE-16FE-448E-AF98-6FDE46E0CF97}">
  <ds:schemaRefs/>
</ds:datastoreItem>
</file>

<file path=customXml/itemProps3.xml><?xml version="1.0" encoding="utf-8"?>
<ds:datastoreItem xmlns:ds="http://schemas.openxmlformats.org/officeDocument/2006/customXml" ds:itemID="{783FD383-D1EF-45D5-A0B6-752F41E5F3F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A8C4699-DF01-4DFB-92FC-E5E708C62B16}">
  <ds:schemaRefs/>
</ds:datastoreItem>
</file>

<file path=customXml/itemProps5.xml><?xml version="1.0" encoding="utf-8"?>
<ds:datastoreItem xmlns:ds="http://schemas.openxmlformats.org/officeDocument/2006/customXml" ds:itemID="{39D13323-DBF1-429B-8F7C-F4A906C9A9D7}">
  <ds:schemaRefs/>
</ds:datastoreItem>
</file>

<file path=customXml/itemProps6.xml><?xml version="1.0" encoding="utf-8"?>
<ds:datastoreItem xmlns:ds="http://schemas.openxmlformats.org/officeDocument/2006/customXml" ds:itemID="{1FCFF860-AB3F-4E9F-B427-783A2E8DFD15}">
  <ds:schemaRefs/>
</ds:datastoreItem>
</file>

<file path=customXml/itemProps7.xml><?xml version="1.0" encoding="utf-8"?>
<ds:datastoreItem xmlns:ds="http://schemas.openxmlformats.org/officeDocument/2006/customXml" ds:itemID="{328900E4-4555-4660-9032-5B61CF76BB51}">
  <ds:schemaRefs/>
</ds:datastoreItem>
</file>

<file path=customXml/itemProps8.xml><?xml version="1.0" encoding="utf-8"?>
<ds:datastoreItem xmlns:ds="http://schemas.openxmlformats.org/officeDocument/2006/customXml" ds:itemID="{CF71B706-5CEC-474D-BE01-EE82145428D0}">
  <ds:schemaRefs/>
</ds:datastoreItem>
</file>

<file path=customXml/itemProps9.xml><?xml version="1.0" encoding="utf-8"?>
<ds:datastoreItem xmlns:ds="http://schemas.openxmlformats.org/officeDocument/2006/customXml" ds:itemID="{7FCC029F-C06F-4FD5-B3B5-52781BC22B31}">
  <ds:schemaRefs/>
</ds:datastoreItem>
</file>

<file path=customXml/itemProps10.xml><?xml version="1.0" encoding="utf-8"?>
<ds:datastoreItem xmlns:ds="http://schemas.openxmlformats.org/officeDocument/2006/customXml" ds:itemID="{8D764918-0757-4E8F-ABA7-13B2ACA0B627}">
  <ds:schemaRefs/>
</ds:datastoreItem>
</file>

<file path=customXml/itemProps11.xml><?xml version="1.0" encoding="utf-8"?>
<ds:datastoreItem xmlns:ds="http://schemas.openxmlformats.org/officeDocument/2006/customXml" ds:itemID="{2853240E-10C4-44DD-9AE8-5FBBF3019FAE}">
  <ds:schemaRefs/>
</ds:datastoreItem>
</file>

<file path=customXml/itemProps12.xml><?xml version="1.0" encoding="utf-8"?>
<ds:datastoreItem xmlns:ds="http://schemas.openxmlformats.org/officeDocument/2006/customXml" ds:itemID="{27BFB8E6-6A9A-4FEC-85BC-81B12FA93FA8}">
  <ds:schemaRefs/>
</ds:datastoreItem>
</file>

<file path=customXml/itemProps13.xml><?xml version="1.0" encoding="utf-8"?>
<ds:datastoreItem xmlns:ds="http://schemas.openxmlformats.org/officeDocument/2006/customXml" ds:itemID="{77ED34DE-5A26-4FB3-92BF-ADE2B617B65C}">
  <ds:schemaRefs/>
</ds:datastoreItem>
</file>

<file path=customXml/itemProps14.xml><?xml version="1.0" encoding="utf-8"?>
<ds:datastoreItem xmlns:ds="http://schemas.openxmlformats.org/officeDocument/2006/customXml" ds:itemID="{167BD114-CC1F-49D1-A80A-B03DAE36AB37}">
  <ds:schemaRefs/>
</ds:datastoreItem>
</file>

<file path=customXml/itemProps15.xml><?xml version="1.0" encoding="utf-8"?>
<ds:datastoreItem xmlns:ds="http://schemas.openxmlformats.org/officeDocument/2006/customXml" ds:itemID="{92348AA3-E4EC-44B6-A231-5B4DC08D69A1}">
  <ds:schemaRefs/>
</ds:datastoreItem>
</file>

<file path=customXml/itemProps16.xml><?xml version="1.0" encoding="utf-8"?>
<ds:datastoreItem xmlns:ds="http://schemas.openxmlformats.org/officeDocument/2006/customXml" ds:itemID="{ED3692AB-3567-449C-BF5C-30D9E96215C4}">
  <ds:schemaRefs/>
</ds:datastoreItem>
</file>

<file path=customXml/itemProps17.xml><?xml version="1.0" encoding="utf-8"?>
<ds:datastoreItem xmlns:ds="http://schemas.openxmlformats.org/officeDocument/2006/customXml" ds:itemID="{88251D93-DB23-42DB-B483-D4B3E523545A}">
  <ds:schemaRefs/>
</ds:datastoreItem>
</file>

<file path=customXml/itemProps18.xml><?xml version="1.0" encoding="utf-8"?>
<ds:datastoreItem xmlns:ds="http://schemas.openxmlformats.org/officeDocument/2006/customXml" ds:itemID="{40176B5C-70A6-4838-9673-7230F4E217C0}">
  <ds:schemaRefs/>
</ds:datastoreItem>
</file>

<file path=customXml/itemProps19.xml><?xml version="1.0" encoding="utf-8"?>
<ds:datastoreItem xmlns:ds="http://schemas.openxmlformats.org/officeDocument/2006/customXml" ds:itemID="{E17876B2-6C94-409B-87AF-2924254F56E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COA_Cat</vt:lpstr>
      <vt:lpstr>Itm_Cat</vt:lpstr>
      <vt:lpstr>COA_Mtble</vt:lpstr>
      <vt:lpstr>EINV_Itm_Mtble</vt:lpstr>
      <vt:lpstr>Bud_Itm_Mtble</vt:lpstr>
      <vt:lpstr>PNR_Mtble</vt:lpstr>
      <vt:lpstr>Sup_Mtbl</vt:lpstr>
      <vt:lpstr>Clnt_Mtbl</vt:lpstr>
      <vt:lpstr>Own_Mtbl</vt:lpstr>
      <vt:lpstr>Stff_Mtbl</vt:lpstr>
      <vt:lpstr>Einv_TrxMtbl</vt:lpstr>
      <vt:lpstr>Bud_Pur_Trxtbl</vt:lpstr>
      <vt:lpstr>Bud_Sal_Trxtbl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 Incentive House</dc:creator>
  <cp:lastModifiedBy>FC Incentive House</cp:lastModifiedBy>
  <cp:lastPrinted>2026-03-02T10:09:40Z</cp:lastPrinted>
  <dcterms:created xsi:type="dcterms:W3CDTF">2025-06-10T08:15:49Z</dcterms:created>
  <dcterms:modified xsi:type="dcterms:W3CDTF">2026-05-04T10:05:30Z</dcterms:modified>
</cp:coreProperties>
</file>